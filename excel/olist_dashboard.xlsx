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drawings/drawing3.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olist-sql-excel-analysis\excel\"/>
    </mc:Choice>
  </mc:AlternateContent>
  <xr:revisionPtr revIDLastSave="0" documentId="13_ncr:1_{5BBD29CB-94E1-4375-A7E4-29B53FBAD308}" xr6:coauthVersionLast="47" xr6:coauthVersionMax="47" xr10:uidLastSave="{00000000-0000-0000-0000-000000000000}"/>
  <bookViews>
    <workbookView xWindow="-110" yWindow="-110" windowWidth="19420" windowHeight="10300" tabRatio="901" firstSheet="4" activeTab="8" xr2:uid="{121BD186-AFAC-4FB6-9158-6828602ABAA1}"/>
  </bookViews>
  <sheets>
    <sheet name="Stats" sheetId="4" r:id="rId1"/>
    <sheet name="MonthlyRevenue" sheetId="7" r:id="rId2"/>
    <sheet name="Top10Categories" sheetId="9" r:id="rId3"/>
    <sheet name="Categories" sheetId="8" r:id="rId4"/>
    <sheet name="CustomerType" sheetId="10" r:id="rId5"/>
    <sheet name="Cohort" sheetId="11" r:id="rId6"/>
    <sheet name="ReviewVsDelivery" sheetId="12" r:id="rId7"/>
    <sheet name="Pivots" sheetId="2" r:id="rId8"/>
    <sheet name="Dashboard" sheetId="1" r:id="rId9"/>
    <sheet name="LateVsOnTime" sheetId="13" r:id="rId10"/>
    <sheet name="StateDelivery" sheetId="16" r:id="rId11"/>
    <sheet name="Payments" sheetId="17" r:id="rId12"/>
    <sheet name="Calcs" sheetId="3" r:id="rId13"/>
    <sheet name="KPIs" sheetId="6" r:id="rId14"/>
    <sheet name="Sheet6" sheetId="18" r:id="rId15"/>
    <sheet name="States" sheetId="15" r:id="rId16"/>
  </sheets>
  <definedNames>
    <definedName name="ExternalData_1" localSheetId="3" hidden="1">'Categories'!$A$1:$E$75</definedName>
    <definedName name="ExternalData_1" localSheetId="5" hidden="1">'Cohort'!$A$1:$H$15</definedName>
    <definedName name="ExternalData_1" localSheetId="4" hidden="1">'CustomerType'!$A$1:$D$3</definedName>
    <definedName name="ExternalData_1" localSheetId="13" hidden="1">KPIs!$A$1:$B$6</definedName>
    <definedName name="ExternalData_1" localSheetId="9" hidden="1">LateVsOnTime!$A$1:$C$3</definedName>
    <definedName name="ExternalData_1" localSheetId="1" hidden="1">MonthlyRevenue!$A$1:$D$21</definedName>
    <definedName name="ExternalData_1" localSheetId="11" hidden="1">Payments!$A$1:$E$5</definedName>
    <definedName name="ExternalData_1" localSheetId="6" hidden="1">'ReviewVsDelivery'!$A$1:$D$6</definedName>
    <definedName name="ExternalData_1" localSheetId="10" hidden="1">StateDelivery!$A$1:$D$28</definedName>
    <definedName name="ExternalData_1" localSheetId="15" hidden="1">States!$A$1:$B$28</definedName>
    <definedName name="ExternalData_2" localSheetId="2" hidden="1">Top10Categories!$A$1:$E$11</definedName>
    <definedName name="Slicer_Year">#N/A</definedName>
  </definedNames>
  <calcPr calcId="191029"/>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1" l="1"/>
  <c r="K58" i="1"/>
  <c r="J59" i="1"/>
  <c r="K59" i="1"/>
  <c r="L59" i="1"/>
  <c r="M59" i="1"/>
  <c r="N59" i="1"/>
  <c r="O59" i="1"/>
  <c r="P59" i="1"/>
  <c r="J60" i="1"/>
  <c r="K60" i="1"/>
  <c r="L60" i="1"/>
  <c r="M60" i="1"/>
  <c r="N60" i="1"/>
  <c r="O60" i="1"/>
  <c r="P60" i="1"/>
  <c r="J61" i="1"/>
  <c r="K61" i="1"/>
  <c r="L61" i="1"/>
  <c r="M61" i="1"/>
  <c r="N61" i="1"/>
  <c r="O61" i="1"/>
  <c r="P61" i="1"/>
  <c r="J62" i="1"/>
  <c r="K62" i="1"/>
  <c r="L62" i="1"/>
  <c r="M62" i="1"/>
  <c r="N62" i="1"/>
  <c r="O62" i="1"/>
  <c r="P62" i="1"/>
  <c r="J63" i="1"/>
  <c r="K63" i="1"/>
  <c r="L63" i="1"/>
  <c r="M63" i="1"/>
  <c r="N63" i="1"/>
  <c r="O63" i="1"/>
  <c r="P63" i="1"/>
  <c r="J64" i="1"/>
  <c r="K64" i="1"/>
  <c r="L64" i="1"/>
  <c r="M64" i="1"/>
  <c r="N64" i="1"/>
  <c r="O64" i="1"/>
  <c r="P64" i="1"/>
  <c r="J65" i="1"/>
  <c r="K65" i="1"/>
  <c r="L65" i="1"/>
  <c r="M65" i="1"/>
  <c r="N65" i="1"/>
  <c r="O65" i="1"/>
  <c r="P65" i="1"/>
  <c r="J66" i="1"/>
  <c r="K66" i="1"/>
  <c r="L66" i="1"/>
  <c r="M66" i="1"/>
  <c r="N66" i="1"/>
  <c r="O66" i="1"/>
  <c r="P66" i="1"/>
  <c r="J67" i="1"/>
  <c r="K67" i="1"/>
  <c r="L67" i="1"/>
  <c r="M67" i="1"/>
  <c r="N67" i="1"/>
  <c r="O67" i="1"/>
  <c r="P67" i="1"/>
  <c r="J68" i="1"/>
  <c r="K68" i="1"/>
  <c r="L68" i="1"/>
  <c r="M68" i="1"/>
  <c r="N68" i="1"/>
  <c r="O68" i="1"/>
  <c r="P68" i="1"/>
  <c r="J69" i="1"/>
  <c r="K69" i="1"/>
  <c r="L69" i="1"/>
  <c r="M69" i="1"/>
  <c r="N69" i="1"/>
  <c r="O69" i="1"/>
  <c r="P69" i="1"/>
  <c r="J70" i="1"/>
  <c r="K70" i="1"/>
  <c r="L70" i="1"/>
  <c r="M70" i="1"/>
  <c r="N70" i="1"/>
  <c r="O70" i="1"/>
  <c r="P70" i="1"/>
  <c r="J71" i="1"/>
  <c r="K71" i="1"/>
  <c r="L71" i="1"/>
  <c r="M71" i="1"/>
  <c r="N71" i="1"/>
  <c r="O71" i="1"/>
  <c r="P71" i="1"/>
  <c r="L58" i="1"/>
  <c r="M58" i="1"/>
  <c r="N58" i="1"/>
  <c r="O58" i="1"/>
  <c r="P58" i="1"/>
  <c r="J58" i="1"/>
  <c r="K4" i="1"/>
  <c r="H4" i="1"/>
  <c r="N4" i="1"/>
  <c r="Q4" i="1"/>
  <c r="E4" i="1"/>
  <c r="B8" i="3"/>
  <c r="B7" i="3"/>
  <c r="B6" i="3"/>
  <c r="B5" i="3"/>
  <c r="B2" i="3"/>
  <c r="B4" i="3" s="1"/>
  <c r="B3" i="3"/>
  <c r="F2" i="13"/>
  <c r="E2" i="13"/>
  <c r="E2" i="10"/>
  <c r="E3" i="10"/>
  <c r="E2" i="7"/>
  <c r="E4" i="7"/>
  <c r="E5" i="7"/>
  <c r="E6" i="7"/>
  <c r="E7" i="7"/>
  <c r="E8" i="7"/>
  <c r="E9" i="7"/>
  <c r="E10" i="7"/>
  <c r="E11" i="7"/>
  <c r="E12" i="7"/>
  <c r="E13" i="7"/>
  <c r="E14" i="7"/>
  <c r="E15" i="7"/>
  <c r="E16" i="7"/>
  <c r="E17" i="7"/>
  <c r="E18" i="7"/>
  <c r="E19" i="7"/>
  <c r="E20" i="7"/>
  <c r="E21" i="7"/>
  <c r="E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57D8BA-196D-45A6-A9F1-DC468425FE41}" keepAlive="1" name="Query - 04b_late_vs_ontime" description="Connection to the '04b_late_vs_ontime' query in the workbook." type="5" refreshedVersion="8" background="1" saveData="1">
    <dbPr connection="Provider=Microsoft.Mashup.OleDb.1;Data Source=$Workbook$;Location=04b_late_vs_ontime;Extended Properties=&quot;&quot;" command="SELECT * FROM [04b_late_vs_ontime]"/>
  </connection>
  <connection id="2" xr16:uid="{BDDF4712-DC8E-4C1A-8426-48A5670EDA7D}"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3" xr16:uid="{20EAE386-DFC8-4C2A-B5DB-69C9A3952CC0}" keepAlive="1" name="Query - Cohort" description="Connection to the 'Cohort' query in the workbook." type="5" refreshedVersion="8" background="1" saveData="1">
    <dbPr connection="Provider=Microsoft.Mashup.OleDb.1;Data Source=$Workbook$;Location=Cohort;Extended Properties=&quot;&quot;" command="SELECT * FROM [Cohort]"/>
  </connection>
  <connection id="4" xr16:uid="{2AAAFEAB-22B5-482F-A139-A90DBDC8E0D7}" keepAlive="1" name="Query - CustomerType" description="Connection to the 'CustomerType' query in the workbook." type="5" refreshedVersion="8" background="1" saveData="1">
    <dbPr connection="Provider=Microsoft.Mashup.OleDb.1;Data Source=$Workbook$;Location=CustomerType;Extended Properties=&quot;&quot;" command="SELECT * FROM [CustomerType]"/>
  </connection>
  <connection id="5" xr16:uid="{ABDA6349-D791-42CC-9804-4294C94F482F}" keepAlive="1" name="Query - KPIs" description="Connection to the 'KPIs' query in the workbook." type="5" refreshedVersion="8" background="1" saveData="1">
    <dbPr connection="Provider=Microsoft.Mashup.OleDb.1;Data Source=$Workbook$;Location=KPIs;Extended Properties=&quot;&quot;" command="SELECT * FROM [KPIs]"/>
  </connection>
  <connection id="6" xr16:uid="{F4E453A1-DA32-4A79-85FE-E98DA6BBB7A8}" keepAlive="1" name="Query - MonthlyRevenue" description="Connection to the 'MonthlyRevenue' query in the workbook." type="5" refreshedVersion="8" background="1" saveData="1">
    <dbPr connection="Provider=Microsoft.Mashup.OleDb.1;Data Source=$Workbook$;Location=MonthlyRevenue;Extended Properties=&quot;&quot;" command="SELECT * FROM [MonthlyRevenue]"/>
  </connection>
  <connection id="7" xr16:uid="{F0FC5B6B-8691-476C-A2ED-CFE76AFEE0AC}" keepAlive="1" name="Query - Payments" description="Connection to the 'Payments' query in the workbook." type="5" refreshedVersion="8" background="1" saveData="1">
    <dbPr connection="Provider=Microsoft.Mashup.OleDb.1;Data Source=$Workbook$;Location=Payments;Extended Properties=&quot;&quot;" command="SELECT * FROM [Payments]"/>
  </connection>
  <connection id="8" xr16:uid="{0332E0AD-92C2-4F82-BC09-2C3B9A6ADB07}" keepAlive="1" name="Query - ReviewVsDelivery" description="Connection to the 'ReviewVsDelivery' query in the workbook." type="5" refreshedVersion="8" background="1" saveData="1">
    <dbPr connection="Provider=Microsoft.Mashup.OleDb.1;Data Source=$Workbook$;Location=ReviewVsDelivery;Extended Properties=&quot;&quot;" command="SELECT * FROM [ReviewVsDelivery]"/>
  </connection>
  <connection id="9" xr16:uid="{5ABEFEE2-7FC9-46DA-85AF-85D0F6A1D784}" keepAlive="1" name="Query - StateDelivery" description="Connection to the 'StateDelivery' query in the workbook." type="5" refreshedVersion="8" background="1" saveData="1">
    <dbPr connection="Provider=Microsoft.Mashup.OleDb.1;Data Source=$Workbook$;Location=StateDelivery;Extended Properties=&quot;&quot;" command="SELECT * FROM [StateDelivery]"/>
  </connection>
  <connection id="10" xr16:uid="{001C5824-F0D1-4256-B2AF-CE901535BC7C}" keepAlive="1" name="Query - States" description="Connection to the 'States' query in the workbook." type="5" refreshedVersion="8" background="1" saveData="1">
    <dbPr connection="Provider=Microsoft.Mashup.OleDb.1;Data Source=$Workbook$;Location=States;Extended Properties=&quot;&quot;" command="SELECT * FROM [States]"/>
  </connection>
  <connection id="11" xr16:uid="{C54AB3F8-DAA2-4C84-8F77-8B6AF9FA0DC0}" keepAlive="1" name="Query - Top10Categories" description="Connection to the 'Top10Categories' query in the workbook." type="5" refreshedVersion="8" background="1" saveData="1">
    <dbPr connection="Provider=Microsoft.Mashup.OleDb.1;Data Source=$Workbook$;Location=Top10Categories;Extended Properties=&quot;&quot;" command="SELECT * FROM [Top10Categories]"/>
  </connection>
</connections>
</file>

<file path=xl/sharedStrings.xml><?xml version="1.0" encoding="utf-8"?>
<sst xmlns="http://schemas.openxmlformats.org/spreadsheetml/2006/main" count="287" uniqueCount="201">
  <si>
    <t>Metric</t>
  </si>
  <si>
    <t>Value</t>
  </si>
  <si>
    <t>total_orders</t>
  </si>
  <si>
    <t>total_revenue</t>
  </si>
  <si>
    <t>unique_customers</t>
  </si>
  <si>
    <t>avg_review_score</t>
  </si>
  <si>
    <t>avg_delivery_days</t>
  </si>
  <si>
    <t>Month Date</t>
  </si>
  <si>
    <t>revenue</t>
  </si>
  <si>
    <t>Year</t>
  </si>
  <si>
    <t>mom_growth_pct</t>
  </si>
  <si>
    <t>category</t>
  </si>
  <si>
    <t>orders</t>
  </si>
  <si>
    <t>revenue_share_pct</t>
  </si>
  <si>
    <t>revenue_rank</t>
  </si>
  <si>
    <t>Health Beauty</t>
  </si>
  <si>
    <t>Watches Gifts</t>
  </si>
  <si>
    <t>Bed Bath Table</t>
  </si>
  <si>
    <t>Sports Leisure</t>
  </si>
  <si>
    <t>Computers Accessories</t>
  </si>
  <si>
    <t>Furniture Decor</t>
  </si>
  <si>
    <t>Housewares</t>
  </si>
  <si>
    <t>Cool Stuff</t>
  </si>
  <si>
    <t>Auto</t>
  </si>
  <si>
    <t>Toys</t>
  </si>
  <si>
    <t>Garden Tools</t>
  </si>
  <si>
    <t>Baby</t>
  </si>
  <si>
    <t>Perfumery</t>
  </si>
  <si>
    <t>Telephony</t>
  </si>
  <si>
    <t>Office Furniture</t>
  </si>
  <si>
    <t>Stationery</t>
  </si>
  <si>
    <t>Computers</t>
  </si>
  <si>
    <t>Pet Shop</t>
  </si>
  <si>
    <t>Musical Instruments</t>
  </si>
  <si>
    <t>Small Appliances</t>
  </si>
  <si>
    <t>Uncategorized</t>
  </si>
  <si>
    <t>Electronics</t>
  </si>
  <si>
    <t>Fashion Bags Accessories</t>
  </si>
  <si>
    <t>Consoles Games</t>
  </si>
  <si>
    <t>Construction Tools Construction</t>
  </si>
  <si>
    <t>Luggage Accessories</t>
  </si>
  <si>
    <t>Home Appliances 2</t>
  </si>
  <si>
    <t>Home Construction</t>
  </si>
  <si>
    <t>Home Appliances</t>
  </si>
  <si>
    <t>Agro Industry And Commerce</t>
  </si>
  <si>
    <t>Furniture Living Room</t>
  </si>
  <si>
    <t>Home Confort</t>
  </si>
  <si>
    <t>Fixed Telephony</t>
  </si>
  <si>
    <t>Air Conditioning</t>
  </si>
  <si>
    <t>Audio</t>
  </si>
  <si>
    <t>Small Appliances Home Oven And Coffee</t>
  </si>
  <si>
    <t>Kitchen Dining Laundry Garden Furniture</t>
  </si>
  <si>
    <t>Books General Interest</t>
  </si>
  <si>
    <t>Construction Tools Lights</t>
  </si>
  <si>
    <t>Construction Tools Safety</t>
  </si>
  <si>
    <t>Industry Commerce And Business</t>
  </si>
  <si>
    <t>Food</t>
  </si>
  <si>
    <t>Market Place</t>
  </si>
  <si>
    <t>Costruction Tools Garden</t>
  </si>
  <si>
    <t>Art</t>
  </si>
  <si>
    <t>Fashion Shoes</t>
  </si>
  <si>
    <t>Drinks</t>
  </si>
  <si>
    <t>Signaling And Security</t>
  </si>
  <si>
    <t>Furniture Bedroom</t>
  </si>
  <si>
    <t>Books Technical</t>
  </si>
  <si>
    <t>Costruction Tools Tools</t>
  </si>
  <si>
    <t>Food Drink</t>
  </si>
  <si>
    <t>Fashion Male Clothing</t>
  </si>
  <si>
    <t>Fashion Underwear Beach</t>
  </si>
  <si>
    <t>Christmas Supplies</t>
  </si>
  <si>
    <t>Tablets Printing Image</t>
  </si>
  <si>
    <t>Cine Photo</t>
  </si>
  <si>
    <t>Music</t>
  </si>
  <si>
    <t>Dvds Blu Ray</t>
  </si>
  <si>
    <t>Party Supplies</t>
  </si>
  <si>
    <t>Books Imported</t>
  </si>
  <si>
    <t>Furniture Mattress And Upholstery</t>
  </si>
  <si>
    <t>Kitchen Portables &amp; Food Preparers</t>
  </si>
  <si>
    <t>Fashio Female Clothing</t>
  </si>
  <si>
    <t>Fashion Sport</t>
  </si>
  <si>
    <t>La Cuisine</t>
  </si>
  <si>
    <t>Arts And Craftmanship</t>
  </si>
  <si>
    <t>Diapers And Hygiene</t>
  </si>
  <si>
    <t>PC Gamer</t>
  </si>
  <si>
    <t>Flowers</t>
  </si>
  <si>
    <t>Home Comfort 2</t>
  </si>
  <si>
    <t>Cds Dvds Musicals</t>
  </si>
  <si>
    <t>Fashion Childrens Clothes</t>
  </si>
  <si>
    <t>Security And Services</t>
  </si>
  <si>
    <t>customer_type</t>
  </si>
  <si>
    <t>customers</t>
  </si>
  <si>
    <t>One-time</t>
  </si>
  <si>
    <t>Repeat</t>
  </si>
  <si>
    <t>customers_share_pct</t>
  </si>
  <si>
    <t>Cohort Month</t>
  </si>
  <si>
    <t>M0</t>
  </si>
  <si>
    <t>M1</t>
  </si>
  <si>
    <t>M2</t>
  </si>
  <si>
    <t>M3</t>
  </si>
  <si>
    <t>M4</t>
  </si>
  <si>
    <t>M5</t>
  </si>
  <si>
    <t>M6</t>
  </si>
  <si>
    <t>review_score</t>
  </si>
  <si>
    <t>reviews</t>
  </si>
  <si>
    <t>pct_late</t>
  </si>
  <si>
    <t>1</t>
  </si>
  <si>
    <t>2</t>
  </si>
  <si>
    <t>3</t>
  </si>
  <si>
    <t>4</t>
  </si>
  <si>
    <t>5</t>
  </si>
  <si>
    <t>delivery_status</t>
  </si>
  <si>
    <t>On time</t>
  </si>
  <si>
    <t>Late</t>
  </si>
  <si>
    <t>Score gap (on time - late)</t>
  </si>
  <si>
    <t>Late share of reviews</t>
  </si>
  <si>
    <t>Code</t>
  </si>
  <si>
    <t>State</t>
  </si>
  <si>
    <t>AC</t>
  </si>
  <si>
    <t>Acre</t>
  </si>
  <si>
    <t>AL</t>
  </si>
  <si>
    <t>Alagoas</t>
  </si>
  <si>
    <t>AP</t>
  </si>
  <si>
    <t>Amapá</t>
  </si>
  <si>
    <t>AM</t>
  </si>
  <si>
    <t>Amazonas</t>
  </si>
  <si>
    <t>BA</t>
  </si>
  <si>
    <t>Bahia</t>
  </si>
  <si>
    <t>CE</t>
  </si>
  <si>
    <t>Ceará</t>
  </si>
  <si>
    <t>DF</t>
  </si>
  <si>
    <t>Distrito Federal</t>
  </si>
  <si>
    <t>ES</t>
  </si>
  <si>
    <t>Espírito Santo</t>
  </si>
  <si>
    <t>GO</t>
  </si>
  <si>
    <t>Goiás</t>
  </si>
  <si>
    <t>MA</t>
  </si>
  <si>
    <t>Maranhão</t>
  </si>
  <si>
    <t>MT</t>
  </si>
  <si>
    <t>Mato Grosso</t>
  </si>
  <si>
    <t>MS</t>
  </si>
  <si>
    <t>Mato Grosso do Sul</t>
  </si>
  <si>
    <t>MG</t>
  </si>
  <si>
    <t>Minas Gerais</t>
  </si>
  <si>
    <t>PA</t>
  </si>
  <si>
    <t>Pará</t>
  </si>
  <si>
    <t>PB</t>
  </si>
  <si>
    <t>Paraíba</t>
  </si>
  <si>
    <t>PR</t>
  </si>
  <si>
    <t>Paraná</t>
  </si>
  <si>
    <t>PE</t>
  </si>
  <si>
    <t>Pernambuco</t>
  </si>
  <si>
    <t>PI</t>
  </si>
  <si>
    <t>Piauí</t>
  </si>
  <si>
    <t>RJ</t>
  </si>
  <si>
    <t>Rio de Janeiro</t>
  </si>
  <si>
    <t>RN</t>
  </si>
  <si>
    <t>Rio Grande do Norte</t>
  </si>
  <si>
    <t>RS</t>
  </si>
  <si>
    <t>Rio Grande do Sul</t>
  </si>
  <si>
    <t>RO</t>
  </si>
  <si>
    <t>Rondônia</t>
  </si>
  <si>
    <t>RR</t>
  </si>
  <si>
    <t>Roraima</t>
  </si>
  <si>
    <t>SC</t>
  </si>
  <si>
    <t>Santa Catarina</t>
  </si>
  <si>
    <t>SP</t>
  </si>
  <si>
    <t>São Paulo</t>
  </si>
  <si>
    <t>SE</t>
  </si>
  <si>
    <t>Sergipe</t>
  </si>
  <si>
    <t>TO</t>
  </si>
  <si>
    <t>Tocantins</t>
  </si>
  <si>
    <t>customer_state</t>
  </si>
  <si>
    <t>payment_type</t>
  </si>
  <si>
    <t>total_value</t>
  </si>
  <si>
    <t>value_share_pct</t>
  </si>
  <si>
    <t>avg_installments</t>
  </si>
  <si>
    <t>Credit Card</t>
  </si>
  <si>
    <t>Boleto</t>
  </si>
  <si>
    <t>Voucher</t>
  </si>
  <si>
    <t>Debit Card</t>
  </si>
  <si>
    <t>Repeat Customers %</t>
  </si>
  <si>
    <t>Avg Delivery Days</t>
  </si>
  <si>
    <t>Avg Review Score</t>
  </si>
  <si>
    <t>Unique Customers</t>
  </si>
  <si>
    <t>Avg Order Value</t>
  </si>
  <si>
    <t>Total Orders</t>
  </si>
  <si>
    <t>Total Revenue</t>
  </si>
  <si>
    <t>Less than 1% of customers buy again in the following months</t>
  </si>
  <si>
    <t>Cohort</t>
  </si>
  <si>
    <t>Month 1</t>
  </si>
  <si>
    <t>Month 2</t>
  </si>
  <si>
    <t>Month 3</t>
  </si>
  <si>
    <t>Month 4</t>
  </si>
  <si>
    <t>Month 5</t>
  </si>
  <si>
    <t>Month 6</t>
  </si>
  <si>
    <t>Row Labels</t>
  </si>
  <si>
    <t>Grand Total</t>
  </si>
  <si>
    <t>Sum of revenue</t>
  </si>
  <si>
    <t>Olist E-Commerce: Sales &amp; Customer Analysis</t>
  </si>
  <si>
    <t xml:space="preserve">Source: Olist public dataset (Kaggle). Delivered orders only. </t>
  </si>
  <si>
    <t>Currency: R$. Monthly charts cover Jan 2017 to Aug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</si>
</sst>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R$&quot;#,##0"/>
    <numFmt numFmtId="165" formatCode="&quot;R$&quot;0.00"/>
    <numFmt numFmtId="166" formatCode="\ 0.0"/>
    <numFmt numFmtId="167" formatCode="mmm\ yyyy"/>
  </numFmts>
  <fonts count="1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8"/>
      <name val="Calibri"/>
      <family val="2"/>
      <scheme val="minor"/>
    </font>
    <font>
      <sz val="18"/>
      <color theme="1"/>
      <name val="Calibri"/>
      <family val="2"/>
      <scheme val="minor"/>
    </font>
    <font>
      <sz val="20"/>
      <color theme="0"/>
      <name val="Calibri"/>
      <family val="2"/>
      <scheme val="minor"/>
    </font>
    <font>
      <b/>
      <sz val="26"/>
      <color theme="1"/>
      <name val="Calibri"/>
      <family val="2"/>
      <scheme val="minor"/>
    </font>
  </fonts>
  <fills count="5">
    <fill>
      <patternFill patternType="none"/>
    </fill>
    <fill>
      <patternFill patternType="gray125"/>
    </fill>
    <fill>
      <patternFill patternType="solid">
        <fgColor theme="8" tint="-0.499984740745262"/>
        <bgColor indexed="64"/>
      </patternFill>
    </fill>
    <fill>
      <patternFill patternType="solid">
        <fgColor theme="2"/>
        <bgColor indexed="64"/>
      </patternFill>
    </fill>
    <fill>
      <patternFill patternType="solid">
        <fgColor theme="9"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9" fontId="0" fillId="0" borderId="0" xfId="1" applyFont="1"/>
    <xf numFmtId="9" fontId="0" fillId="0" borderId="0" xfId="0" applyNumberFormat="1"/>
    <xf numFmtId="0" fontId="3" fillId="0" borderId="0" xfId="0" applyFont="1"/>
    <xf numFmtId="0" fontId="0" fillId="0" borderId="0" xfId="0" applyAlignment="1">
      <alignment horizontal="center"/>
    </xf>
    <xf numFmtId="0" fontId="0" fillId="0" borderId="0" xfId="0" applyAlignment="1">
      <alignment vertical="center"/>
    </xf>
    <xf numFmtId="0" fontId="4" fillId="0" borderId="0" xfId="0" applyFont="1" applyAlignment="1">
      <alignment vertical="center"/>
    </xf>
    <xf numFmtId="167" fontId="0" fillId="0" borderId="0" xfId="0" applyNumberFormat="1"/>
    <xf numFmtId="0" fontId="0" fillId="0" borderId="0" xfId="0" pivotButton="1"/>
    <xf numFmtId="14" fontId="0" fillId="0" borderId="0" xfId="0" applyNumberFormat="1" applyAlignment="1">
      <alignment horizontal="left"/>
    </xf>
    <xf numFmtId="10" fontId="0" fillId="0" borderId="0" xfId="0" applyNumberFormat="1"/>
    <xf numFmtId="0" fontId="2" fillId="4" borderId="0" xfId="0" applyFont="1" applyFill="1"/>
    <xf numFmtId="0" fontId="8" fillId="0" borderId="0" xfId="0" applyFont="1" applyAlignment="1">
      <alignment vertical="center"/>
    </xf>
    <xf numFmtId="0" fontId="9" fillId="0" borderId="0" xfId="0" applyFont="1"/>
    <xf numFmtId="0" fontId="7" fillId="0" borderId="0" xfId="0" applyFont="1"/>
    <xf numFmtId="0" fontId="3" fillId="3" borderId="0" xfId="0" applyFont="1" applyFill="1" applyAlignment="1">
      <alignment horizontal="center"/>
    </xf>
    <xf numFmtId="0" fontId="5" fillId="2" borderId="0" xfId="0" applyFont="1" applyFill="1" applyAlignment="1">
      <alignment horizontal="center" vertical="center"/>
    </xf>
    <xf numFmtId="2" fontId="8" fillId="2" borderId="0" xfId="0" applyNumberFormat="1" applyFont="1" applyFill="1" applyAlignment="1">
      <alignment horizontal="center" vertical="center"/>
    </xf>
    <xf numFmtId="0" fontId="4" fillId="2" borderId="0" xfId="0" applyFont="1" applyFill="1" applyAlignment="1">
      <alignment horizontal="center" vertical="center"/>
    </xf>
    <xf numFmtId="166" fontId="8" fillId="2" borderId="0" xfId="0" applyNumberFormat="1" applyFont="1" applyFill="1" applyAlignment="1">
      <alignment horizontal="center" vertical="center"/>
    </xf>
    <xf numFmtId="3" fontId="8" fillId="2" borderId="0" xfId="0" applyNumberFormat="1" applyFont="1" applyFill="1" applyAlignment="1">
      <alignment horizontal="center" vertical="center"/>
    </xf>
    <xf numFmtId="164" fontId="8" fillId="2" borderId="0" xfId="0" applyNumberFormat="1" applyFont="1" applyFill="1" applyAlignment="1">
      <alignment horizontal="center" vertical="center"/>
    </xf>
    <xf numFmtId="165" fontId="8" fillId="2" borderId="0" xfId="0" applyNumberFormat="1" applyFont="1" applyFill="1" applyAlignment="1">
      <alignment horizontal="center" vertical="center"/>
    </xf>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mm\ yyyy"/>
    </dxf>
    <dxf>
      <numFmt numFmtId="13" formatCode="0%"/>
    </dxf>
    <dxf>
      <numFmt numFmtId="0" formatCode="General"/>
    </dxf>
    <dxf>
      <numFmt numFmtId="0" formatCode="General"/>
    </dxf>
    <dxf>
      <numFmt numFmtId="0" formatCode="General"/>
    </dxf>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400" b="0" i="0" u="none" strike="noStrike" cap="none" baseline="0"/>
              <a:t>Revenue peaked in Nov 2017 and levelled off in 2018</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1"/>
          <c:order val="1"/>
          <c:spPr>
            <a:ln w="22225" cap="rnd" cmpd="sng" algn="ctr">
              <a:solidFill>
                <a:schemeClr val="accent5">
                  <a:shade val="86000"/>
                </a:schemeClr>
              </a:solidFill>
              <a:round/>
            </a:ln>
            <a:effectLst/>
          </c:spPr>
          <c:marker>
            <c:symbol val="none"/>
          </c:marker>
          <c:cat>
            <c:numRef>
              <c:f>MonthlyRevenue!$A$2:$A$21</c:f>
              <c:numCache>
                <c:formatCode>m/d/yyyy</c:formatCode>
                <c:ptCount val="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f>MonthlyRevenue!$C$2:$C$21</c:f>
              <c:numCache>
                <c:formatCode>General</c:formatCode>
                <c:ptCount val="20"/>
                <c:pt idx="0">
                  <c:v>111798.36</c:v>
                </c:pt>
                <c:pt idx="1">
                  <c:v>234223.4</c:v>
                </c:pt>
                <c:pt idx="2">
                  <c:v>359198.85</c:v>
                </c:pt>
                <c:pt idx="3">
                  <c:v>340669.68</c:v>
                </c:pt>
                <c:pt idx="4">
                  <c:v>489338.25</c:v>
                </c:pt>
                <c:pt idx="5">
                  <c:v>421923.37</c:v>
                </c:pt>
                <c:pt idx="6">
                  <c:v>481604.52</c:v>
                </c:pt>
                <c:pt idx="7">
                  <c:v>554699.69999999995</c:v>
                </c:pt>
                <c:pt idx="8">
                  <c:v>607399.67000000004</c:v>
                </c:pt>
                <c:pt idx="9">
                  <c:v>648247.65</c:v>
                </c:pt>
                <c:pt idx="10">
                  <c:v>987765.37</c:v>
                </c:pt>
                <c:pt idx="11">
                  <c:v>726033.19</c:v>
                </c:pt>
                <c:pt idx="12">
                  <c:v>924645</c:v>
                </c:pt>
                <c:pt idx="13">
                  <c:v>826437.13</c:v>
                </c:pt>
                <c:pt idx="14">
                  <c:v>953356.25</c:v>
                </c:pt>
                <c:pt idx="15">
                  <c:v>973534.09</c:v>
                </c:pt>
                <c:pt idx="16">
                  <c:v>977544.69</c:v>
                </c:pt>
                <c:pt idx="17">
                  <c:v>856077.86</c:v>
                </c:pt>
                <c:pt idx="18">
                  <c:v>867953.46</c:v>
                </c:pt>
                <c:pt idx="19">
                  <c:v>838576.64000000001</c:v>
                </c:pt>
              </c:numCache>
            </c:numRef>
          </c:val>
          <c:smooth val="0"/>
          <c:extLst>
            <c:ext xmlns:c16="http://schemas.microsoft.com/office/drawing/2014/chart" uri="{C3380CC4-5D6E-409C-BE32-E72D297353CC}">
              <c16:uniqueId val="{00000001-91F5-477B-9E23-63A17D3D2A1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4471848"/>
        <c:axId val="1284471488"/>
        <c:extLst>
          <c:ext xmlns:c15="http://schemas.microsoft.com/office/drawing/2012/chart" uri="{02D57815-91ED-43cb-92C2-25804820EDAC}">
            <c15:filteredLineSeries>
              <c15:ser>
                <c:idx val="0"/>
                <c:order val="0"/>
                <c:spPr>
                  <a:ln w="22225" cap="rnd" cmpd="sng" algn="ctr">
                    <a:solidFill>
                      <a:schemeClr val="accent5">
                        <a:shade val="58000"/>
                      </a:schemeClr>
                    </a:solidFill>
                    <a:round/>
                  </a:ln>
                  <a:effectLst/>
                </c:spPr>
                <c:marker>
                  <c:symbol val="none"/>
                </c:marker>
                <c:cat>
                  <c:numRef>
                    <c:extLst>
                      <c:ext uri="{02D57815-91ED-43cb-92C2-25804820EDAC}">
                        <c15:formulaRef>
                          <c15:sqref>MonthlyRevenue!$A$2:$A$21</c15:sqref>
                        </c15:formulaRef>
                      </c:ext>
                    </c:extLst>
                    <c:numCache>
                      <c:formatCode>m/d/yyyy</c:formatCode>
                      <c:ptCount val="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extLst>
                      <c:ext uri="{02D57815-91ED-43cb-92C2-25804820EDAC}">
                        <c15:formulaRef>
                          <c15:sqref>MonthlyRevenue!$B$2:$B$21</c15:sqref>
                        </c15:formulaRef>
                      </c:ext>
                    </c:extLst>
                    <c:numCache>
                      <c:formatCode>General</c:formatCode>
                      <c:ptCount val="20"/>
                      <c:pt idx="0">
                        <c:v>750</c:v>
                      </c:pt>
                      <c:pt idx="1">
                        <c:v>1653</c:v>
                      </c:pt>
                      <c:pt idx="2">
                        <c:v>2546</c:v>
                      </c:pt>
                      <c:pt idx="3">
                        <c:v>2303</c:v>
                      </c:pt>
                      <c:pt idx="4">
                        <c:v>3546</c:v>
                      </c:pt>
                      <c:pt idx="5">
                        <c:v>3135</c:v>
                      </c:pt>
                      <c:pt idx="6">
                        <c:v>3872</c:v>
                      </c:pt>
                      <c:pt idx="7">
                        <c:v>4193</c:v>
                      </c:pt>
                      <c:pt idx="8">
                        <c:v>4150</c:v>
                      </c:pt>
                      <c:pt idx="9">
                        <c:v>4478</c:v>
                      </c:pt>
                      <c:pt idx="10">
                        <c:v>7289</c:v>
                      </c:pt>
                      <c:pt idx="11">
                        <c:v>5513</c:v>
                      </c:pt>
                      <c:pt idx="12">
                        <c:v>7069</c:v>
                      </c:pt>
                      <c:pt idx="13">
                        <c:v>6555</c:v>
                      </c:pt>
                      <c:pt idx="14">
                        <c:v>7003</c:v>
                      </c:pt>
                      <c:pt idx="15">
                        <c:v>6798</c:v>
                      </c:pt>
                      <c:pt idx="16">
                        <c:v>6749</c:v>
                      </c:pt>
                      <c:pt idx="17">
                        <c:v>6099</c:v>
                      </c:pt>
                      <c:pt idx="18">
                        <c:v>6159</c:v>
                      </c:pt>
                      <c:pt idx="19">
                        <c:v>6351</c:v>
                      </c:pt>
                    </c:numCache>
                  </c:numRef>
                </c:val>
                <c:smooth val="0"/>
                <c:extLst>
                  <c:ext xmlns:c16="http://schemas.microsoft.com/office/drawing/2014/chart" uri="{C3380CC4-5D6E-409C-BE32-E72D297353CC}">
                    <c16:uniqueId val="{00000000-91F5-477B-9E23-63A17D3D2A10}"/>
                  </c:ext>
                </c:extLst>
              </c15:ser>
            </c15:filteredLineSeries>
            <c15:filteredLineSeries>
              <c15:ser>
                <c:idx val="2"/>
                <c:order val="2"/>
                <c:spPr>
                  <a:ln w="22225" cap="rnd" cmpd="sng" algn="ctr">
                    <a:solidFill>
                      <a:schemeClr val="accent5">
                        <a:tint val="86000"/>
                      </a:schemeClr>
                    </a:solidFill>
                    <a:round/>
                  </a:ln>
                  <a:effectLst/>
                </c:spPr>
                <c:marker>
                  <c:symbol val="none"/>
                </c:marker>
                <c:cat>
                  <c:numRef>
                    <c:extLst>
                      <c:ext xmlns:c15="http://schemas.microsoft.com/office/drawing/2012/chart" uri="{02D57815-91ED-43cb-92C2-25804820EDAC}">
                        <c15:formulaRef>
                          <c15:sqref>MonthlyRevenue!$A$2:$A$21</c15:sqref>
                        </c15:formulaRef>
                      </c:ext>
                    </c:extLst>
                    <c:numCache>
                      <c:formatCode>m/d/yyyy</c:formatCode>
                      <c:ptCount val="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extLst>
                      <c:ext xmlns:c15="http://schemas.microsoft.com/office/drawing/2012/chart" uri="{02D57815-91ED-43cb-92C2-25804820EDAC}">
                        <c15:formulaRef>
                          <c15:sqref>MonthlyRevenue!$D$2:$D$21</c15:sqref>
                        </c15:formulaRef>
                      </c:ext>
                    </c:extLst>
                    <c:numCache>
                      <c:formatCode>General</c:formatCode>
                      <c:ptCount val="20"/>
                      <c:pt idx="0">
                        <c:v>2017</c:v>
                      </c:pt>
                      <c:pt idx="1">
                        <c:v>2017</c:v>
                      </c:pt>
                      <c:pt idx="2">
                        <c:v>2017</c:v>
                      </c:pt>
                      <c:pt idx="3">
                        <c:v>2017</c:v>
                      </c:pt>
                      <c:pt idx="4">
                        <c:v>2017</c:v>
                      </c:pt>
                      <c:pt idx="5">
                        <c:v>2017</c:v>
                      </c:pt>
                      <c:pt idx="6">
                        <c:v>2017</c:v>
                      </c:pt>
                      <c:pt idx="7">
                        <c:v>2017</c:v>
                      </c:pt>
                      <c:pt idx="8">
                        <c:v>2017</c:v>
                      </c:pt>
                      <c:pt idx="9">
                        <c:v>2017</c:v>
                      </c:pt>
                      <c:pt idx="10">
                        <c:v>2017</c:v>
                      </c:pt>
                      <c:pt idx="11">
                        <c:v>2017</c:v>
                      </c:pt>
                      <c:pt idx="12">
                        <c:v>2018</c:v>
                      </c:pt>
                      <c:pt idx="13">
                        <c:v>2018</c:v>
                      </c:pt>
                      <c:pt idx="14">
                        <c:v>2018</c:v>
                      </c:pt>
                      <c:pt idx="15">
                        <c:v>2018</c:v>
                      </c:pt>
                      <c:pt idx="16">
                        <c:v>2018</c:v>
                      </c:pt>
                      <c:pt idx="17">
                        <c:v>2018</c:v>
                      </c:pt>
                      <c:pt idx="18">
                        <c:v>2018</c:v>
                      </c:pt>
                      <c:pt idx="19">
                        <c:v>2018</c:v>
                      </c:pt>
                    </c:numCache>
                  </c:numRef>
                </c:val>
                <c:smooth val="0"/>
                <c:extLst xmlns:c15="http://schemas.microsoft.com/office/drawing/2012/chart">
                  <c:ext xmlns:c16="http://schemas.microsoft.com/office/drawing/2014/chart" uri="{C3380CC4-5D6E-409C-BE32-E72D297353CC}">
                    <c16:uniqueId val="{00000002-91F5-477B-9E23-63A17D3D2A10}"/>
                  </c:ext>
                </c:extLst>
              </c15:ser>
            </c15:filteredLineSeries>
            <c15:filteredLineSeries>
              <c15:ser>
                <c:idx val="3"/>
                <c:order val="3"/>
                <c:spPr>
                  <a:ln w="22225" cap="rnd" cmpd="sng" algn="ctr">
                    <a:solidFill>
                      <a:schemeClr val="accent5">
                        <a:tint val="58000"/>
                      </a:schemeClr>
                    </a:solidFill>
                    <a:round/>
                  </a:ln>
                  <a:effectLst/>
                </c:spPr>
                <c:marker>
                  <c:symbol val="none"/>
                </c:marker>
                <c:cat>
                  <c:numRef>
                    <c:extLst>
                      <c:ext xmlns:c15="http://schemas.microsoft.com/office/drawing/2012/chart" uri="{02D57815-91ED-43cb-92C2-25804820EDAC}">
                        <c15:formulaRef>
                          <c15:sqref>MonthlyRevenue!$A$2:$A$21</c15:sqref>
                        </c15:formulaRef>
                      </c:ext>
                    </c:extLst>
                    <c:numCache>
                      <c:formatCode>m/d/yyyy</c:formatCode>
                      <c:ptCount val="20"/>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pt idx="12">
                        <c:v>43101</c:v>
                      </c:pt>
                      <c:pt idx="13">
                        <c:v>43132</c:v>
                      </c:pt>
                      <c:pt idx="14">
                        <c:v>43160</c:v>
                      </c:pt>
                      <c:pt idx="15">
                        <c:v>43191</c:v>
                      </c:pt>
                      <c:pt idx="16">
                        <c:v>43221</c:v>
                      </c:pt>
                      <c:pt idx="17">
                        <c:v>43252</c:v>
                      </c:pt>
                      <c:pt idx="18">
                        <c:v>43282</c:v>
                      </c:pt>
                      <c:pt idx="19">
                        <c:v>43313</c:v>
                      </c:pt>
                    </c:numCache>
                  </c:numRef>
                </c:cat>
                <c:val>
                  <c:numRef>
                    <c:extLst>
                      <c:ext xmlns:c15="http://schemas.microsoft.com/office/drawing/2012/chart" uri="{02D57815-91ED-43cb-92C2-25804820EDAC}">
                        <c15:formulaRef>
                          <c15:sqref>MonthlyRevenue!$E$2:$E$21</c15:sqref>
                        </c15:formulaRef>
                      </c:ext>
                    </c:extLst>
                    <c:numCache>
                      <c:formatCode>0%</c:formatCode>
                      <c:ptCount val="20"/>
                      <c:pt idx="0">
                        <c:v>0</c:v>
                      </c:pt>
                      <c:pt idx="1">
                        <c:v>1.0950521993345876</c:v>
                      </c:pt>
                      <c:pt idx="2">
                        <c:v>0.53357371637505047</c:v>
                      </c:pt>
                      <c:pt idx="3">
                        <c:v>-5.1584714149279669E-2</c:v>
                      </c:pt>
                      <c:pt idx="4">
                        <c:v>0.43640094416385988</c:v>
                      </c:pt>
                      <c:pt idx="5">
                        <c:v>-0.13776744409414143</c:v>
                      </c:pt>
                      <c:pt idx="6">
                        <c:v>0.1414502116818038</c:v>
                      </c:pt>
                      <c:pt idx="7">
                        <c:v>0.15177428152044739</c:v>
                      </c:pt>
                      <c:pt idx="8">
                        <c:v>9.500630701621092E-2</c:v>
                      </c:pt>
                      <c:pt idx="9">
                        <c:v>6.7250579836502011E-2</c:v>
                      </c:pt>
                      <c:pt idx="10">
                        <c:v>0.52374693529548466</c:v>
                      </c:pt>
                      <c:pt idx="11">
                        <c:v>-0.26497403933081803</c:v>
                      </c:pt>
                      <c:pt idx="12">
                        <c:v>0.27355748020279907</c:v>
                      </c:pt>
                      <c:pt idx="13">
                        <c:v>-0.10621143249571456</c:v>
                      </c:pt>
                      <c:pt idx="14">
                        <c:v>0.1535738356770103</c:v>
                      </c:pt>
                      <c:pt idx="15">
                        <c:v>2.1165057658141924E-2</c:v>
                      </c:pt>
                      <c:pt idx="16">
                        <c:v>4.1196297502021492E-3</c:v>
                      </c:pt>
                      <c:pt idx="17">
                        <c:v>-0.12425706082041116</c:v>
                      </c:pt>
                      <c:pt idx="18">
                        <c:v>1.3872102708041038E-2</c:v>
                      </c:pt>
                      <c:pt idx="19">
                        <c:v>-3.3846077415256748E-2</c:v>
                      </c:pt>
                    </c:numCache>
                  </c:numRef>
                </c:val>
                <c:smooth val="0"/>
                <c:extLst xmlns:c15="http://schemas.microsoft.com/office/drawing/2012/chart">
                  <c:ext xmlns:c16="http://schemas.microsoft.com/office/drawing/2014/chart" uri="{C3380CC4-5D6E-409C-BE32-E72D297353CC}">
                    <c16:uniqueId val="{00000003-91F5-477B-9E23-63A17D3D2A10}"/>
                  </c:ext>
                </c:extLst>
              </c15:ser>
            </c15:filteredLineSeries>
          </c:ext>
        </c:extLst>
      </c:lineChart>
      <c:catAx>
        <c:axId val="1284471848"/>
        <c:scaling>
          <c:orientation val="minMax"/>
        </c:scaling>
        <c:delete val="0"/>
        <c:axPos val="b"/>
        <c:numFmt formatCode="mmm\ yy"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4471488"/>
        <c:crosses val="autoZero"/>
        <c:auto val="0"/>
        <c:lblAlgn val="ctr"/>
        <c:lblOffset val="100"/>
        <c:noMultiLvlLbl val="0"/>
      </c:catAx>
      <c:valAx>
        <c:axId val="1284471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4471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categories bring in about 62% of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6"/>
            </a:solidFill>
            <a:ln>
              <a:noFill/>
            </a:ln>
            <a:effectLst/>
          </c:spPr>
          <c:invertIfNegative val="0"/>
          <c:cat>
            <c:strRef>
              <c:f>Top10Categories!$A$2:$A$11</c:f>
              <c:strCache>
                <c:ptCount val="10"/>
                <c:pt idx="0">
                  <c:v>Health Beauty</c:v>
                </c:pt>
                <c:pt idx="1">
                  <c:v>Watches Gifts</c:v>
                </c:pt>
                <c:pt idx="2">
                  <c:v>Bed Bath Table</c:v>
                </c:pt>
                <c:pt idx="3">
                  <c:v>Sports Leisure</c:v>
                </c:pt>
                <c:pt idx="4">
                  <c:v>Computers Accessories</c:v>
                </c:pt>
                <c:pt idx="5">
                  <c:v>Furniture Decor</c:v>
                </c:pt>
                <c:pt idx="6">
                  <c:v>Housewares</c:v>
                </c:pt>
                <c:pt idx="7">
                  <c:v>Cool Stuff</c:v>
                </c:pt>
                <c:pt idx="8">
                  <c:v>Auto</c:v>
                </c:pt>
                <c:pt idx="9">
                  <c:v>Toys</c:v>
                </c:pt>
              </c:strCache>
            </c:strRef>
          </c:cat>
          <c:val>
            <c:numRef>
              <c:f>Top10Categories!$B$2:$B$11</c:f>
              <c:numCache>
                <c:formatCode>General</c:formatCode>
                <c:ptCount val="10"/>
                <c:pt idx="0">
                  <c:v>8647</c:v>
                </c:pt>
                <c:pt idx="1">
                  <c:v>5495</c:v>
                </c:pt>
                <c:pt idx="2">
                  <c:v>9272</c:v>
                </c:pt>
                <c:pt idx="3">
                  <c:v>7530</c:v>
                </c:pt>
                <c:pt idx="4">
                  <c:v>6530</c:v>
                </c:pt>
                <c:pt idx="5">
                  <c:v>6307</c:v>
                </c:pt>
                <c:pt idx="6">
                  <c:v>5743</c:v>
                </c:pt>
                <c:pt idx="7">
                  <c:v>3559</c:v>
                </c:pt>
                <c:pt idx="8">
                  <c:v>3810</c:v>
                </c:pt>
                <c:pt idx="9">
                  <c:v>3804</c:v>
                </c:pt>
              </c:numCache>
            </c:numRef>
          </c:val>
          <c:extLst>
            <c:ext xmlns:c16="http://schemas.microsoft.com/office/drawing/2014/chart" uri="{C3380CC4-5D6E-409C-BE32-E72D297353CC}">
              <c16:uniqueId val="{00000000-36EB-4021-BBBF-E828C2A4BBA4}"/>
            </c:ext>
          </c:extLst>
        </c:ser>
        <c:ser>
          <c:idx val="1"/>
          <c:order val="1"/>
          <c:spPr>
            <a:solidFill>
              <a:schemeClr val="accent5"/>
            </a:solidFill>
            <a:ln>
              <a:noFill/>
            </a:ln>
            <a:effectLst/>
          </c:spPr>
          <c:invertIfNegative val="0"/>
          <c:cat>
            <c:strRef>
              <c:f>Top10Categories!$A$2:$A$11</c:f>
              <c:strCache>
                <c:ptCount val="10"/>
                <c:pt idx="0">
                  <c:v>Health Beauty</c:v>
                </c:pt>
                <c:pt idx="1">
                  <c:v>Watches Gifts</c:v>
                </c:pt>
                <c:pt idx="2">
                  <c:v>Bed Bath Table</c:v>
                </c:pt>
                <c:pt idx="3">
                  <c:v>Sports Leisure</c:v>
                </c:pt>
                <c:pt idx="4">
                  <c:v>Computers Accessories</c:v>
                </c:pt>
                <c:pt idx="5">
                  <c:v>Furniture Decor</c:v>
                </c:pt>
                <c:pt idx="6">
                  <c:v>Housewares</c:v>
                </c:pt>
                <c:pt idx="7">
                  <c:v>Cool Stuff</c:v>
                </c:pt>
                <c:pt idx="8">
                  <c:v>Auto</c:v>
                </c:pt>
                <c:pt idx="9">
                  <c:v>Toys</c:v>
                </c:pt>
              </c:strCache>
            </c:strRef>
          </c:cat>
          <c:val>
            <c:numRef>
              <c:f>Top10Categories!$C$2:$C$11</c:f>
              <c:numCache>
                <c:formatCode>General</c:formatCode>
                <c:ptCount val="10"/>
                <c:pt idx="0">
                  <c:v>1233131.72</c:v>
                </c:pt>
                <c:pt idx="1">
                  <c:v>1166176.98</c:v>
                </c:pt>
                <c:pt idx="2">
                  <c:v>1023434.76</c:v>
                </c:pt>
                <c:pt idx="3">
                  <c:v>954852.55</c:v>
                </c:pt>
                <c:pt idx="4">
                  <c:v>888724.61</c:v>
                </c:pt>
                <c:pt idx="5">
                  <c:v>711927.69</c:v>
                </c:pt>
                <c:pt idx="6">
                  <c:v>615628.68999999994</c:v>
                </c:pt>
                <c:pt idx="7">
                  <c:v>610204.1</c:v>
                </c:pt>
                <c:pt idx="8">
                  <c:v>578966.65</c:v>
                </c:pt>
                <c:pt idx="9">
                  <c:v>471286.48</c:v>
                </c:pt>
              </c:numCache>
            </c:numRef>
          </c:val>
          <c:extLst>
            <c:ext xmlns:c16="http://schemas.microsoft.com/office/drawing/2014/chart" uri="{C3380CC4-5D6E-409C-BE32-E72D297353CC}">
              <c16:uniqueId val="{00000001-36EB-4021-BBBF-E828C2A4BBA4}"/>
            </c:ext>
          </c:extLst>
        </c:ser>
        <c:ser>
          <c:idx val="2"/>
          <c:order val="2"/>
          <c:spPr>
            <a:solidFill>
              <a:schemeClr val="accent4"/>
            </a:solidFill>
            <a:ln>
              <a:noFill/>
            </a:ln>
            <a:effectLst/>
          </c:spPr>
          <c:invertIfNegative val="0"/>
          <c:cat>
            <c:strRef>
              <c:f>Top10Categories!$A$2:$A$11</c:f>
              <c:strCache>
                <c:ptCount val="10"/>
                <c:pt idx="0">
                  <c:v>Health Beauty</c:v>
                </c:pt>
                <c:pt idx="1">
                  <c:v>Watches Gifts</c:v>
                </c:pt>
                <c:pt idx="2">
                  <c:v>Bed Bath Table</c:v>
                </c:pt>
                <c:pt idx="3">
                  <c:v>Sports Leisure</c:v>
                </c:pt>
                <c:pt idx="4">
                  <c:v>Computers Accessories</c:v>
                </c:pt>
                <c:pt idx="5">
                  <c:v>Furniture Decor</c:v>
                </c:pt>
                <c:pt idx="6">
                  <c:v>Housewares</c:v>
                </c:pt>
                <c:pt idx="7">
                  <c:v>Cool Stuff</c:v>
                </c:pt>
                <c:pt idx="8">
                  <c:v>Auto</c:v>
                </c:pt>
                <c:pt idx="9">
                  <c:v>Toys</c:v>
                </c:pt>
              </c:strCache>
            </c:strRef>
          </c:cat>
          <c:val>
            <c:numRef>
              <c:f>Top10Categories!$D$2:$D$11</c:f>
              <c:numCache>
                <c:formatCode>General</c:formatCode>
                <c:ptCount val="10"/>
                <c:pt idx="0">
                  <c:v>9.33</c:v>
                </c:pt>
                <c:pt idx="1">
                  <c:v>8.82</c:v>
                </c:pt>
                <c:pt idx="2">
                  <c:v>7.74</c:v>
                </c:pt>
                <c:pt idx="3">
                  <c:v>7.22</c:v>
                </c:pt>
                <c:pt idx="4">
                  <c:v>6.72</c:v>
                </c:pt>
                <c:pt idx="5">
                  <c:v>5.38</c:v>
                </c:pt>
                <c:pt idx="6">
                  <c:v>4.66</c:v>
                </c:pt>
                <c:pt idx="7">
                  <c:v>4.62</c:v>
                </c:pt>
                <c:pt idx="8">
                  <c:v>4.38</c:v>
                </c:pt>
                <c:pt idx="9">
                  <c:v>3.56</c:v>
                </c:pt>
              </c:numCache>
            </c:numRef>
          </c:val>
          <c:extLst>
            <c:ext xmlns:c16="http://schemas.microsoft.com/office/drawing/2014/chart" uri="{C3380CC4-5D6E-409C-BE32-E72D297353CC}">
              <c16:uniqueId val="{00000002-36EB-4021-BBBF-E828C2A4BBA4}"/>
            </c:ext>
          </c:extLst>
        </c:ser>
        <c:ser>
          <c:idx val="3"/>
          <c:order val="3"/>
          <c:spPr>
            <a:solidFill>
              <a:schemeClr val="accent6">
                <a:lumMod val="60000"/>
              </a:schemeClr>
            </a:solidFill>
            <a:ln>
              <a:noFill/>
            </a:ln>
            <a:effectLst/>
          </c:spPr>
          <c:invertIfNegative val="0"/>
          <c:cat>
            <c:strRef>
              <c:f>Top10Categories!$A$2:$A$11</c:f>
              <c:strCache>
                <c:ptCount val="10"/>
                <c:pt idx="0">
                  <c:v>Health Beauty</c:v>
                </c:pt>
                <c:pt idx="1">
                  <c:v>Watches Gifts</c:v>
                </c:pt>
                <c:pt idx="2">
                  <c:v>Bed Bath Table</c:v>
                </c:pt>
                <c:pt idx="3">
                  <c:v>Sports Leisure</c:v>
                </c:pt>
                <c:pt idx="4">
                  <c:v>Computers Accessories</c:v>
                </c:pt>
                <c:pt idx="5">
                  <c:v>Furniture Decor</c:v>
                </c:pt>
                <c:pt idx="6">
                  <c:v>Housewares</c:v>
                </c:pt>
                <c:pt idx="7">
                  <c:v>Cool Stuff</c:v>
                </c:pt>
                <c:pt idx="8">
                  <c:v>Auto</c:v>
                </c:pt>
                <c:pt idx="9">
                  <c:v>Toys</c:v>
                </c:pt>
              </c:strCache>
            </c:strRef>
          </c:cat>
          <c:val>
            <c:numRef>
              <c:f>Top10Categories!$E$2:$E$11</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3-36EB-4021-BBBF-E828C2A4BBA4}"/>
            </c:ext>
          </c:extLst>
        </c:ser>
        <c:dLbls>
          <c:showLegendKey val="0"/>
          <c:showVal val="0"/>
          <c:showCatName val="0"/>
          <c:showSerName val="0"/>
          <c:showPercent val="0"/>
          <c:showBubbleSize val="0"/>
        </c:dLbls>
        <c:gapWidth val="182"/>
        <c:axId val="1377428512"/>
        <c:axId val="1377430672"/>
      </c:barChart>
      <c:catAx>
        <c:axId val="13774285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30672"/>
        <c:crosses val="autoZero"/>
        <c:auto val="1"/>
        <c:lblAlgn val="ctr"/>
        <c:lblOffset val="100"/>
        <c:noMultiLvlLbl val="0"/>
      </c:catAx>
      <c:valAx>
        <c:axId val="13774306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1-star orders take twice as long to arrive (21 vs 11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'ReviewVsDelivery'!$C$1</c:f>
              <c:strCache>
                <c:ptCount val="1"/>
                <c:pt idx="0">
                  <c:v>avg_delivery_days</c:v>
                </c:pt>
              </c:strCache>
            </c:strRef>
          </c:tx>
          <c:spPr>
            <a:solidFill>
              <a:schemeClr val="accent5"/>
            </a:solidFill>
            <a:ln>
              <a:noFill/>
            </a:ln>
            <a:effectLst/>
          </c:spPr>
          <c:invertIfNegative val="0"/>
          <c:cat>
            <c:strRef>
              <c:f>'ReviewVsDelivery'!$A$2:$A$6</c:f>
              <c:strCache>
                <c:ptCount val="5"/>
                <c:pt idx="0">
                  <c:v>1</c:v>
                </c:pt>
                <c:pt idx="1">
                  <c:v>2</c:v>
                </c:pt>
                <c:pt idx="2">
                  <c:v>3</c:v>
                </c:pt>
                <c:pt idx="3">
                  <c:v>4</c:v>
                </c:pt>
                <c:pt idx="4">
                  <c:v>5</c:v>
                </c:pt>
              </c:strCache>
            </c:strRef>
          </c:cat>
          <c:val>
            <c:numRef>
              <c:f>'ReviewVsDelivery'!$C$2:$C$6</c:f>
              <c:numCache>
                <c:formatCode>General</c:formatCode>
                <c:ptCount val="5"/>
                <c:pt idx="0">
                  <c:v>21.3</c:v>
                </c:pt>
                <c:pt idx="1">
                  <c:v>16.600000000000001</c:v>
                </c:pt>
                <c:pt idx="2">
                  <c:v>14.2</c:v>
                </c:pt>
                <c:pt idx="3">
                  <c:v>12.3</c:v>
                </c:pt>
                <c:pt idx="4">
                  <c:v>10.6</c:v>
                </c:pt>
              </c:numCache>
            </c:numRef>
          </c:val>
          <c:extLst>
            <c:ext xmlns:c16="http://schemas.microsoft.com/office/drawing/2014/chart" uri="{C3380CC4-5D6E-409C-BE32-E72D297353CC}">
              <c16:uniqueId val="{00000000-E588-4883-BDB2-9553B363BC4A}"/>
            </c:ext>
          </c:extLst>
        </c:ser>
        <c:dLbls>
          <c:showLegendKey val="0"/>
          <c:showVal val="0"/>
          <c:showCatName val="0"/>
          <c:showSerName val="0"/>
          <c:showPercent val="0"/>
          <c:showBubbleSize val="0"/>
        </c:dLbls>
        <c:gapWidth val="219"/>
        <c:overlap val="-27"/>
        <c:axId val="1284477248"/>
        <c:axId val="1284484808"/>
        <c:extLst>
          <c:ext xmlns:c15="http://schemas.microsoft.com/office/drawing/2012/chart" uri="{02D57815-91ED-43cb-92C2-25804820EDAC}">
            <c15:filteredBarSeries>
              <c15:ser>
                <c:idx val="0"/>
                <c:order val="0"/>
                <c:tx>
                  <c:strRef>
                    <c:extLst>
                      <c:ext uri="{02D57815-91ED-43cb-92C2-25804820EDAC}">
                        <c15:formulaRef>
                          <c15:sqref>'ReviewVsDelivery'!$B$1</c15:sqref>
                        </c15:formulaRef>
                      </c:ext>
                    </c:extLst>
                    <c:strCache>
                      <c:ptCount val="1"/>
                      <c:pt idx="0">
                        <c:v>reviews</c:v>
                      </c:pt>
                    </c:strCache>
                  </c:strRef>
                </c:tx>
                <c:spPr>
                  <a:solidFill>
                    <a:schemeClr val="accent5">
                      <a:shade val="65000"/>
                    </a:schemeClr>
                  </a:solidFill>
                  <a:ln>
                    <a:noFill/>
                  </a:ln>
                  <a:effectLst/>
                </c:spPr>
                <c:invertIfNegative val="0"/>
                <c:cat>
                  <c:strRef>
                    <c:extLst>
                      <c:ext uri="{02D57815-91ED-43cb-92C2-25804820EDAC}">
                        <c15:formulaRef>
                          <c15:sqref>'ReviewVsDelivery'!$A$2:$A$6</c15:sqref>
                        </c15:formulaRef>
                      </c:ext>
                    </c:extLst>
                    <c:strCache>
                      <c:ptCount val="5"/>
                      <c:pt idx="0">
                        <c:v>1</c:v>
                      </c:pt>
                      <c:pt idx="1">
                        <c:v>2</c:v>
                      </c:pt>
                      <c:pt idx="2">
                        <c:v>3</c:v>
                      </c:pt>
                      <c:pt idx="3">
                        <c:v>4</c:v>
                      </c:pt>
                      <c:pt idx="4">
                        <c:v>5</c:v>
                      </c:pt>
                    </c:strCache>
                  </c:strRef>
                </c:cat>
                <c:val>
                  <c:numRef>
                    <c:extLst>
                      <c:ext uri="{02D57815-91ED-43cb-92C2-25804820EDAC}">
                        <c15:formulaRef>
                          <c15:sqref>'ReviewVsDelivery'!$B$2:$B$6</c15:sqref>
                        </c15:formulaRef>
                      </c:ext>
                    </c:extLst>
                    <c:numCache>
                      <c:formatCode>General</c:formatCode>
                      <c:ptCount val="5"/>
                      <c:pt idx="0">
                        <c:v>9405</c:v>
                      </c:pt>
                      <c:pt idx="1">
                        <c:v>2941</c:v>
                      </c:pt>
                      <c:pt idx="2">
                        <c:v>7961</c:v>
                      </c:pt>
                      <c:pt idx="3">
                        <c:v>18986</c:v>
                      </c:pt>
                      <c:pt idx="4">
                        <c:v>57059</c:v>
                      </c:pt>
                    </c:numCache>
                  </c:numRef>
                </c:val>
                <c:extLst>
                  <c:ext xmlns:c16="http://schemas.microsoft.com/office/drawing/2014/chart" uri="{C3380CC4-5D6E-409C-BE32-E72D297353CC}">
                    <c16:uniqueId val="{00000001-E588-4883-BDB2-9553B363BC4A}"/>
                  </c:ext>
                </c:extLst>
              </c15:ser>
            </c15:filteredBarSeries>
            <c15:filteredBarSeries>
              <c15:ser>
                <c:idx val="2"/>
                <c:order val="2"/>
                <c:tx>
                  <c:strRef>
                    <c:extLst>
                      <c:ext xmlns:c15="http://schemas.microsoft.com/office/drawing/2012/chart" uri="{02D57815-91ED-43cb-92C2-25804820EDAC}">
                        <c15:formulaRef>
                          <c15:sqref>'ReviewVsDelivery'!$D$1</c15:sqref>
                        </c15:formulaRef>
                      </c:ext>
                    </c:extLst>
                    <c:strCache>
                      <c:ptCount val="1"/>
                      <c:pt idx="0">
                        <c:v>pct_late</c:v>
                      </c:pt>
                    </c:strCache>
                  </c:strRef>
                </c:tx>
                <c:spPr>
                  <a:solidFill>
                    <a:schemeClr val="accent5">
                      <a:tint val="65000"/>
                    </a:schemeClr>
                  </a:solidFill>
                  <a:ln>
                    <a:noFill/>
                  </a:ln>
                  <a:effectLst/>
                </c:spPr>
                <c:invertIfNegative val="0"/>
                <c:cat>
                  <c:strRef>
                    <c:extLst>
                      <c:ext xmlns:c15="http://schemas.microsoft.com/office/drawing/2012/chart" uri="{02D57815-91ED-43cb-92C2-25804820EDAC}">
                        <c15:formulaRef>
                          <c15:sqref>'ReviewVsDelivery'!$A$2:$A$6</c15:sqref>
                        </c15:formulaRef>
                      </c:ext>
                    </c:extLst>
                    <c:strCache>
                      <c:ptCount val="5"/>
                      <c:pt idx="0">
                        <c:v>1</c:v>
                      </c:pt>
                      <c:pt idx="1">
                        <c:v>2</c:v>
                      </c:pt>
                      <c:pt idx="2">
                        <c:v>3</c:v>
                      </c:pt>
                      <c:pt idx="3">
                        <c:v>4</c:v>
                      </c:pt>
                      <c:pt idx="4">
                        <c:v>5</c:v>
                      </c:pt>
                    </c:strCache>
                  </c:strRef>
                </c:cat>
                <c:val>
                  <c:numRef>
                    <c:extLst>
                      <c:ext xmlns:c15="http://schemas.microsoft.com/office/drawing/2012/chart" uri="{02D57815-91ED-43cb-92C2-25804820EDAC}">
                        <c15:formulaRef>
                          <c15:sqref>'ReviewVsDelivery'!$D$2:$D$6</c15:sqref>
                        </c15:formulaRef>
                      </c:ext>
                    </c:extLst>
                    <c:numCache>
                      <c:formatCode>General</c:formatCode>
                      <c:ptCount val="5"/>
                      <c:pt idx="0">
                        <c:v>0.378</c:v>
                      </c:pt>
                      <c:pt idx="1">
                        <c:v>0.20599999999999999</c:v>
                      </c:pt>
                      <c:pt idx="2">
                        <c:v>0.11</c:v>
                      </c:pt>
                      <c:pt idx="3">
                        <c:v>0.05</c:v>
                      </c:pt>
                      <c:pt idx="4">
                        <c:v>0.03</c:v>
                      </c:pt>
                    </c:numCache>
                  </c:numRef>
                </c:val>
                <c:extLst xmlns:c15="http://schemas.microsoft.com/office/drawing/2012/chart">
                  <c:ext xmlns:c16="http://schemas.microsoft.com/office/drawing/2014/chart" uri="{C3380CC4-5D6E-409C-BE32-E72D297353CC}">
                    <c16:uniqueId val="{00000002-E588-4883-BDB2-9553B363BC4A}"/>
                  </c:ext>
                </c:extLst>
              </c15:ser>
            </c15:filteredBarSeries>
          </c:ext>
        </c:extLst>
      </c:barChart>
      <c:catAx>
        <c:axId val="1284477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Review score (1 to 5)</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84808"/>
        <c:crosses val="autoZero"/>
        <c:auto val="1"/>
        <c:lblAlgn val="ctr"/>
        <c:lblOffset val="100"/>
        <c:noMultiLvlLbl val="0"/>
      </c:catAx>
      <c:valAx>
        <c:axId val="1284484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7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Late orders score 2.6 stars vs 4.3 on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1-1B94-4E53-8DED-FB095F0034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LateVsOnTime!$A$2:$A$3</c:f>
              <c:strCache>
                <c:ptCount val="2"/>
                <c:pt idx="0">
                  <c:v>On time</c:v>
                </c:pt>
                <c:pt idx="1">
                  <c:v>Late</c:v>
                </c:pt>
              </c:strCache>
            </c:strRef>
          </c:cat>
          <c:val>
            <c:numRef>
              <c:f>LateVsOnTime!$C$2:$C$3</c:f>
              <c:numCache>
                <c:formatCode>General</c:formatCode>
                <c:ptCount val="2"/>
                <c:pt idx="0">
                  <c:v>4.29</c:v>
                </c:pt>
                <c:pt idx="1">
                  <c:v>2.57</c:v>
                </c:pt>
              </c:numCache>
            </c:numRef>
          </c:val>
          <c:extLst>
            <c:ext xmlns:c16="http://schemas.microsoft.com/office/drawing/2014/chart" uri="{C3380CC4-5D6E-409C-BE32-E72D297353CC}">
              <c16:uniqueId val="{00000000-1B94-4E53-8DED-FB095F0034EE}"/>
            </c:ext>
          </c:extLst>
        </c:ser>
        <c:dLbls>
          <c:showLegendKey val="0"/>
          <c:showVal val="0"/>
          <c:showCatName val="0"/>
          <c:showSerName val="0"/>
          <c:showPercent val="0"/>
          <c:showBubbleSize val="0"/>
        </c:dLbls>
        <c:gapWidth val="219"/>
        <c:overlap val="-27"/>
        <c:axId val="1387249016"/>
        <c:axId val="1387241096"/>
      </c:barChart>
      <c:catAx>
        <c:axId val="138724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41096"/>
        <c:crosses val="autoZero"/>
        <c:auto val="1"/>
        <c:lblAlgn val="ctr"/>
        <c:lblOffset val="100"/>
        <c:noMultiLvlLbl val="0"/>
      </c:catAx>
      <c:valAx>
        <c:axId val="1387241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249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Delivery takes 8.7 days in São Paulo vs 29.3 in Roraima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StateDelivery!$A$2:$A$28</c:f>
              <c:strCache>
                <c:ptCount val="27"/>
                <c:pt idx="0">
                  <c:v>Roraima</c:v>
                </c:pt>
                <c:pt idx="1">
                  <c:v>Acre</c:v>
                </c:pt>
                <c:pt idx="2">
                  <c:v>Amapá</c:v>
                </c:pt>
                <c:pt idx="3">
                  <c:v>Alagoas</c:v>
                </c:pt>
                <c:pt idx="4">
                  <c:v>Amazonas</c:v>
                </c:pt>
                <c:pt idx="5">
                  <c:v>Pará</c:v>
                </c:pt>
                <c:pt idx="6">
                  <c:v>Bahia</c:v>
                </c:pt>
                <c:pt idx="7">
                  <c:v>Maranhão</c:v>
                </c:pt>
                <c:pt idx="8">
                  <c:v>Ceará</c:v>
                </c:pt>
                <c:pt idx="9">
                  <c:v>Sergipe</c:v>
                </c:pt>
                <c:pt idx="10">
                  <c:v>Distrito Federal</c:v>
                </c:pt>
                <c:pt idx="11">
                  <c:v>Espírito Santo</c:v>
                </c:pt>
                <c:pt idx="12">
                  <c:v>Goiás</c:v>
                </c:pt>
                <c:pt idx="13">
                  <c:v>Paraíba</c:v>
                </c:pt>
                <c:pt idx="14">
                  <c:v>Piauí</c:v>
                </c:pt>
                <c:pt idx="15">
                  <c:v>Mato Grosso</c:v>
                </c:pt>
                <c:pt idx="16">
                  <c:v>Mato Grosso do Sul</c:v>
                </c:pt>
                <c:pt idx="17">
                  <c:v>Rondônia</c:v>
                </c:pt>
                <c:pt idx="18">
                  <c:v>Minas Gerais</c:v>
                </c:pt>
                <c:pt idx="19">
                  <c:v>Rio Grande do Norte</c:v>
                </c:pt>
                <c:pt idx="20">
                  <c:v>Pernambuco</c:v>
                </c:pt>
                <c:pt idx="21">
                  <c:v>Paraná</c:v>
                </c:pt>
                <c:pt idx="22">
                  <c:v>Tocantins</c:v>
                </c:pt>
                <c:pt idx="23">
                  <c:v>Rio de Janeiro</c:v>
                </c:pt>
                <c:pt idx="24">
                  <c:v>Rio Grande do Sul</c:v>
                </c:pt>
                <c:pt idx="25">
                  <c:v>Santa Catarina</c:v>
                </c:pt>
                <c:pt idx="26">
                  <c:v>São Paulo</c:v>
                </c:pt>
              </c:strCache>
            </c:strRef>
          </c:cat>
          <c:val>
            <c:numRef>
              <c:f>StateDelivery!$D$2:$D$28</c:f>
              <c:numCache>
                <c:formatCode>General</c:formatCode>
                <c:ptCount val="27"/>
                <c:pt idx="0">
                  <c:v>29.3</c:v>
                </c:pt>
                <c:pt idx="1">
                  <c:v>21</c:v>
                </c:pt>
                <c:pt idx="2">
                  <c:v>27.2</c:v>
                </c:pt>
                <c:pt idx="3">
                  <c:v>24.5</c:v>
                </c:pt>
                <c:pt idx="4">
                  <c:v>26.4</c:v>
                </c:pt>
                <c:pt idx="5">
                  <c:v>23.7</c:v>
                </c:pt>
                <c:pt idx="6">
                  <c:v>19.3</c:v>
                </c:pt>
                <c:pt idx="7">
                  <c:v>21.5</c:v>
                </c:pt>
                <c:pt idx="8">
                  <c:v>21.2</c:v>
                </c:pt>
                <c:pt idx="9">
                  <c:v>21.5</c:v>
                </c:pt>
                <c:pt idx="10">
                  <c:v>12.9</c:v>
                </c:pt>
                <c:pt idx="11">
                  <c:v>15.7</c:v>
                </c:pt>
                <c:pt idx="12">
                  <c:v>15.5</c:v>
                </c:pt>
                <c:pt idx="13">
                  <c:v>20.399999999999999</c:v>
                </c:pt>
                <c:pt idx="14">
                  <c:v>19.399999999999999</c:v>
                </c:pt>
                <c:pt idx="15">
                  <c:v>18</c:v>
                </c:pt>
                <c:pt idx="16">
                  <c:v>15.5</c:v>
                </c:pt>
                <c:pt idx="17">
                  <c:v>19.3</c:v>
                </c:pt>
                <c:pt idx="18">
                  <c:v>11.9</c:v>
                </c:pt>
                <c:pt idx="19">
                  <c:v>19.2</c:v>
                </c:pt>
                <c:pt idx="20">
                  <c:v>18.399999999999999</c:v>
                </c:pt>
                <c:pt idx="21">
                  <c:v>11.9</c:v>
                </c:pt>
                <c:pt idx="22">
                  <c:v>17.600000000000001</c:v>
                </c:pt>
                <c:pt idx="23">
                  <c:v>15.2</c:v>
                </c:pt>
                <c:pt idx="24">
                  <c:v>15.2</c:v>
                </c:pt>
                <c:pt idx="25">
                  <c:v>14.9</c:v>
                </c:pt>
                <c:pt idx="26">
                  <c:v>8.6999999999999993</c:v>
                </c:pt>
              </c:numCache>
            </c:numRef>
          </c:val>
          <c:extLst>
            <c:ext xmlns:c16="http://schemas.microsoft.com/office/drawing/2014/chart" uri="{C3380CC4-5D6E-409C-BE32-E72D297353CC}">
              <c16:uniqueId val="{00000000-6562-4F6F-84DB-62AA20F1782A}"/>
            </c:ext>
          </c:extLst>
        </c:ser>
        <c:dLbls>
          <c:showLegendKey val="0"/>
          <c:showVal val="0"/>
          <c:showCatName val="0"/>
          <c:showSerName val="0"/>
          <c:showPercent val="0"/>
          <c:showBubbleSize val="0"/>
        </c:dLbls>
        <c:gapWidth val="182"/>
        <c:axId val="1284475808"/>
        <c:axId val="1284472208"/>
      </c:barChart>
      <c:catAx>
        <c:axId val="12844758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72208"/>
        <c:crosses val="autoZero"/>
        <c:auto val="1"/>
        <c:lblAlgn val="ctr"/>
        <c:lblOffset val="100"/>
        <c:noMultiLvlLbl val="0"/>
      </c:catAx>
      <c:valAx>
        <c:axId val="12844722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7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78% of payment value is paid by credit card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Payments!$A$2:$A$5</c:f>
              <c:strCache>
                <c:ptCount val="4"/>
                <c:pt idx="0">
                  <c:v>Credit Card</c:v>
                </c:pt>
                <c:pt idx="1">
                  <c:v>Boleto</c:v>
                </c:pt>
                <c:pt idx="2">
                  <c:v>Voucher</c:v>
                </c:pt>
                <c:pt idx="3">
                  <c:v>Debit Card</c:v>
                </c:pt>
              </c:strCache>
            </c:strRef>
          </c:cat>
          <c:val>
            <c:numRef>
              <c:f>Payments!$C$2:$C$5</c:f>
              <c:numCache>
                <c:formatCode>General</c:formatCode>
                <c:ptCount val="4"/>
                <c:pt idx="0">
                  <c:v>12101094.880000001</c:v>
                </c:pt>
                <c:pt idx="1">
                  <c:v>2769932.58</c:v>
                </c:pt>
                <c:pt idx="2">
                  <c:v>343013.19</c:v>
                </c:pt>
                <c:pt idx="3">
                  <c:v>208421.12</c:v>
                </c:pt>
              </c:numCache>
            </c:numRef>
          </c:val>
          <c:extLst>
            <c:ext xmlns:c16="http://schemas.microsoft.com/office/drawing/2014/chart" uri="{C3380CC4-5D6E-409C-BE32-E72D297353CC}">
              <c16:uniqueId val="{00000000-8596-4A7A-9181-BB2000C413C7}"/>
            </c:ext>
          </c:extLst>
        </c:ser>
        <c:dLbls>
          <c:showLegendKey val="0"/>
          <c:showVal val="0"/>
          <c:showCatName val="0"/>
          <c:showSerName val="0"/>
          <c:showPercent val="0"/>
          <c:showBubbleSize val="0"/>
        </c:dLbls>
        <c:gapWidth val="219"/>
        <c:overlap val="-27"/>
        <c:axId val="1284466808"/>
        <c:axId val="1284466448"/>
      </c:barChart>
      <c:catAx>
        <c:axId val="1284466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66448"/>
        <c:crosses val="autoZero"/>
        <c:auto val="1"/>
        <c:lblAlgn val="ctr"/>
        <c:lblOffset val="100"/>
        <c:noMultiLvlLbl val="0"/>
      </c:catAx>
      <c:valAx>
        <c:axId val="128446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66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Only 3% of customers buy again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C-46C6-9D45-C354DD620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C-46C6-9D45-C354DD620D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'CustomerType'!$A$2:$A$3</c:f>
              <c:strCache>
                <c:ptCount val="2"/>
                <c:pt idx="0">
                  <c:v>One-time</c:v>
                </c:pt>
                <c:pt idx="1">
                  <c:v>Repeat</c:v>
                </c:pt>
              </c:strCache>
            </c:strRef>
          </c:cat>
          <c:val>
            <c:numRef>
              <c:f>'CustomerType'!$B$2:$B$3</c:f>
              <c:numCache>
                <c:formatCode>General</c:formatCode>
                <c:ptCount val="2"/>
                <c:pt idx="0">
                  <c:v>90557</c:v>
                </c:pt>
                <c:pt idx="1">
                  <c:v>2801</c:v>
                </c:pt>
              </c:numCache>
            </c:numRef>
          </c:val>
          <c:extLst>
            <c:ext xmlns:c16="http://schemas.microsoft.com/office/drawing/2014/chart" uri="{C3380CC4-5D6E-409C-BE32-E72D297353CC}">
              <c16:uniqueId val="{00000004-EC1C-46C6-9D45-C354DD620DB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(click a year to filter)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01/01/2017</c:v>
              </c:pt>
              <c:pt idx="1">
                <c:v>01/02/2017</c:v>
              </c:pt>
              <c:pt idx="2">
                <c:v>01/03/2017</c:v>
              </c:pt>
              <c:pt idx="3">
                <c:v>01/04/2017</c:v>
              </c:pt>
              <c:pt idx="4">
                <c:v>01/05/2017</c:v>
              </c:pt>
              <c:pt idx="5">
                <c:v>01/06/2017</c:v>
              </c:pt>
              <c:pt idx="6">
                <c:v>01/07/2017</c:v>
              </c:pt>
              <c:pt idx="7">
                <c:v>01/08/2017</c:v>
              </c:pt>
              <c:pt idx="8">
                <c:v>01/09/2017</c:v>
              </c:pt>
              <c:pt idx="9">
                <c:v>01/10/2017</c:v>
              </c:pt>
              <c:pt idx="10">
                <c:v>01/11/2017</c:v>
              </c:pt>
              <c:pt idx="11">
                <c:v>01/12/2017</c:v>
              </c:pt>
            </c:strLit>
          </c:cat>
          <c:val>
            <c:numLit>
              <c:formatCode>General</c:formatCode>
              <c:ptCount val="12"/>
              <c:pt idx="0">
                <c:v>111798.36</c:v>
              </c:pt>
              <c:pt idx="1">
                <c:v>234223.4</c:v>
              </c:pt>
              <c:pt idx="2">
                <c:v>359198.85</c:v>
              </c:pt>
              <c:pt idx="3">
                <c:v>340669.68</c:v>
              </c:pt>
              <c:pt idx="4">
                <c:v>489338.25</c:v>
              </c:pt>
              <c:pt idx="5">
                <c:v>421923.37</c:v>
              </c:pt>
              <c:pt idx="6">
                <c:v>481604.52</c:v>
              </c:pt>
              <c:pt idx="7">
                <c:v>554699.69999999995</c:v>
              </c:pt>
              <c:pt idx="8">
                <c:v>607399.67000000004</c:v>
              </c:pt>
              <c:pt idx="9">
                <c:v>648247.65</c:v>
              </c:pt>
              <c:pt idx="10">
                <c:v>987765.37</c:v>
              </c:pt>
              <c:pt idx="11">
                <c:v>726033.19</c:v>
              </c:pt>
            </c:numLit>
          </c:val>
          <c:smooth val="0"/>
          <c:extLst>
            <c:ext xmlns:c16="http://schemas.microsoft.com/office/drawing/2014/chart" uri="{C3380CC4-5D6E-409C-BE32-E72D297353CC}">
              <c16:uniqueId val="{00000000-FE2A-46AD-B6C6-E9B1D6C5DA20}"/>
            </c:ext>
          </c:extLst>
        </c:ser>
        <c:dLbls>
          <c:showLegendKey val="0"/>
          <c:showVal val="0"/>
          <c:showCatName val="0"/>
          <c:showSerName val="0"/>
          <c:showPercent val="0"/>
          <c:showBubbleSize val="0"/>
        </c:dLbls>
        <c:smooth val="0"/>
        <c:axId val="1391855168"/>
        <c:axId val="1391854088"/>
      </c:lineChart>
      <c:catAx>
        <c:axId val="1391855168"/>
        <c:scaling>
          <c:orientation val="minMax"/>
        </c:scaling>
        <c:delete val="1"/>
        <c:axPos val="b"/>
        <c:numFmt formatCode="General" sourceLinked="1"/>
        <c:majorTickMark val="none"/>
        <c:minorTickMark val="none"/>
        <c:tickLblPos val="nextTo"/>
        <c:crossAx val="1391854088"/>
        <c:crosses val="autoZero"/>
        <c:auto val="1"/>
        <c:lblAlgn val="ctr"/>
        <c:lblOffset val="100"/>
        <c:noMultiLvlLbl val="0"/>
      </c:catAx>
      <c:valAx>
        <c:axId val="1391854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85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StateDelivery!$A$2:$A$28</c:f>
              <c:strCache>
                <c:ptCount val="27"/>
                <c:pt idx="0">
                  <c:v>Roraima</c:v>
                </c:pt>
                <c:pt idx="1">
                  <c:v>Acre</c:v>
                </c:pt>
                <c:pt idx="2">
                  <c:v>Amapá</c:v>
                </c:pt>
                <c:pt idx="3">
                  <c:v>Alagoas</c:v>
                </c:pt>
                <c:pt idx="4">
                  <c:v>Amazonas</c:v>
                </c:pt>
                <c:pt idx="5">
                  <c:v>Pará</c:v>
                </c:pt>
                <c:pt idx="6">
                  <c:v>Bahia</c:v>
                </c:pt>
                <c:pt idx="7">
                  <c:v>Maranhão</c:v>
                </c:pt>
                <c:pt idx="8">
                  <c:v>Ceará</c:v>
                </c:pt>
                <c:pt idx="9">
                  <c:v>Sergipe</c:v>
                </c:pt>
                <c:pt idx="10">
                  <c:v>Distrito Federal</c:v>
                </c:pt>
                <c:pt idx="11">
                  <c:v>Espírito Santo</c:v>
                </c:pt>
                <c:pt idx="12">
                  <c:v>Goiás</c:v>
                </c:pt>
                <c:pt idx="13">
                  <c:v>Paraíba</c:v>
                </c:pt>
                <c:pt idx="14">
                  <c:v>Piauí</c:v>
                </c:pt>
                <c:pt idx="15">
                  <c:v>Mato Grosso</c:v>
                </c:pt>
                <c:pt idx="16">
                  <c:v>Mato Grosso do Sul</c:v>
                </c:pt>
                <c:pt idx="17">
                  <c:v>Rondônia</c:v>
                </c:pt>
                <c:pt idx="18">
                  <c:v>Minas Gerais</c:v>
                </c:pt>
                <c:pt idx="19">
                  <c:v>Rio Grande do Norte</c:v>
                </c:pt>
                <c:pt idx="20">
                  <c:v>Pernambuco</c:v>
                </c:pt>
                <c:pt idx="21">
                  <c:v>Paraná</c:v>
                </c:pt>
                <c:pt idx="22">
                  <c:v>Tocantins</c:v>
                </c:pt>
                <c:pt idx="23">
                  <c:v>Rio de Janeiro</c:v>
                </c:pt>
                <c:pt idx="24">
                  <c:v>Rio Grande do Sul</c:v>
                </c:pt>
                <c:pt idx="25">
                  <c:v>Santa Catarina</c:v>
                </c:pt>
                <c:pt idx="26">
                  <c:v>São Paulo</c:v>
                </c:pt>
              </c:strCache>
            </c:strRef>
          </c:cat>
          <c:val>
            <c:numRef>
              <c:f>StateDelivery!$D$2:$D$28</c:f>
              <c:numCache>
                <c:formatCode>General</c:formatCode>
                <c:ptCount val="27"/>
                <c:pt idx="0">
                  <c:v>29.3</c:v>
                </c:pt>
                <c:pt idx="1">
                  <c:v>21</c:v>
                </c:pt>
                <c:pt idx="2">
                  <c:v>27.2</c:v>
                </c:pt>
                <c:pt idx="3">
                  <c:v>24.5</c:v>
                </c:pt>
                <c:pt idx="4">
                  <c:v>26.4</c:v>
                </c:pt>
                <c:pt idx="5">
                  <c:v>23.7</c:v>
                </c:pt>
                <c:pt idx="6">
                  <c:v>19.3</c:v>
                </c:pt>
                <c:pt idx="7">
                  <c:v>21.5</c:v>
                </c:pt>
                <c:pt idx="8">
                  <c:v>21.2</c:v>
                </c:pt>
                <c:pt idx="9">
                  <c:v>21.5</c:v>
                </c:pt>
                <c:pt idx="10">
                  <c:v>12.9</c:v>
                </c:pt>
                <c:pt idx="11">
                  <c:v>15.7</c:v>
                </c:pt>
                <c:pt idx="12">
                  <c:v>15.5</c:v>
                </c:pt>
                <c:pt idx="13">
                  <c:v>20.399999999999999</c:v>
                </c:pt>
                <c:pt idx="14">
                  <c:v>19.399999999999999</c:v>
                </c:pt>
                <c:pt idx="15">
                  <c:v>18</c:v>
                </c:pt>
                <c:pt idx="16">
                  <c:v>15.5</c:v>
                </c:pt>
                <c:pt idx="17">
                  <c:v>19.3</c:v>
                </c:pt>
                <c:pt idx="18">
                  <c:v>11.9</c:v>
                </c:pt>
                <c:pt idx="19">
                  <c:v>19.2</c:v>
                </c:pt>
                <c:pt idx="20">
                  <c:v>18.399999999999999</c:v>
                </c:pt>
                <c:pt idx="21">
                  <c:v>11.9</c:v>
                </c:pt>
                <c:pt idx="22">
                  <c:v>17.600000000000001</c:v>
                </c:pt>
                <c:pt idx="23">
                  <c:v>15.2</c:v>
                </c:pt>
                <c:pt idx="24">
                  <c:v>15.2</c:v>
                </c:pt>
                <c:pt idx="25">
                  <c:v>14.9</c:v>
                </c:pt>
                <c:pt idx="26">
                  <c:v>8.6999999999999993</c:v>
                </c:pt>
              </c:numCache>
            </c:numRef>
          </c:val>
          <c:extLst>
            <c:ext xmlns:c16="http://schemas.microsoft.com/office/drawing/2014/chart" uri="{C3380CC4-5D6E-409C-BE32-E72D297353CC}">
              <c16:uniqueId val="{00000000-C7C8-4854-BF89-0391B332ABB0}"/>
            </c:ext>
          </c:extLst>
        </c:ser>
        <c:dLbls>
          <c:showLegendKey val="0"/>
          <c:showVal val="0"/>
          <c:showCatName val="0"/>
          <c:showSerName val="0"/>
          <c:showPercent val="0"/>
          <c:showBubbleSize val="0"/>
        </c:dLbls>
        <c:gapWidth val="219"/>
        <c:overlap val="-27"/>
        <c:axId val="1378905392"/>
        <c:axId val="1378902152"/>
      </c:barChart>
      <c:catAx>
        <c:axId val="13789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02152"/>
        <c:crosses val="autoZero"/>
        <c:auto val="1"/>
        <c:lblAlgn val="ctr"/>
        <c:lblOffset val="100"/>
        <c:noMultiLvlLbl val="0"/>
      </c:catAx>
      <c:valAx>
        <c:axId val="1378902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9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596900</xdr:colOff>
      <xdr:row>1</xdr:row>
      <xdr:rowOff>12700</xdr:rowOff>
    </xdr:from>
    <xdr:to>
      <xdr:col>5</xdr:col>
      <xdr:colOff>342900</xdr:colOff>
      <xdr:row>6</xdr:row>
      <xdr:rowOff>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B9F851F-69D2-02E2-EEB4-28BABBD922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38400" y="196850"/>
              <a:ext cx="182880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2546</xdr:colOff>
      <xdr:row>5</xdr:row>
      <xdr:rowOff>36174</xdr:rowOff>
    </xdr:from>
    <xdr:to>
      <xdr:col>8</xdr:col>
      <xdr:colOff>52882</xdr:colOff>
      <xdr:row>20</xdr:row>
      <xdr:rowOff>47037</xdr:rowOff>
    </xdr:to>
    <xdr:graphicFrame macro="">
      <xdr:nvGraphicFramePr>
        <xdr:cNvPr id="2" name="Chart 1">
          <a:extLst>
            <a:ext uri="{FF2B5EF4-FFF2-40B4-BE49-F238E27FC236}">
              <a16:creationId xmlns:a16="http://schemas.microsoft.com/office/drawing/2014/main" id="{5E271E02-214D-41B9-A5AF-B6D91327A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7647</xdr:colOff>
      <xdr:row>22</xdr:row>
      <xdr:rowOff>1</xdr:rowOff>
    </xdr:from>
    <xdr:to>
      <xdr:col>7</xdr:col>
      <xdr:colOff>835064</xdr:colOff>
      <xdr:row>37</xdr:row>
      <xdr:rowOff>141112</xdr:rowOff>
    </xdr:to>
    <xdr:graphicFrame macro="">
      <xdr:nvGraphicFramePr>
        <xdr:cNvPr id="3" name="Chart 2">
          <a:extLst>
            <a:ext uri="{FF2B5EF4-FFF2-40B4-BE49-F238E27FC236}">
              <a16:creationId xmlns:a16="http://schemas.microsoft.com/office/drawing/2014/main" id="{44CAE260-3A5F-4D1B-9B5F-4F62AFBE9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188456</xdr:colOff>
      <xdr:row>22</xdr:row>
      <xdr:rowOff>16320</xdr:rowOff>
    </xdr:from>
    <xdr:to>
      <xdr:col>13</xdr:col>
      <xdr:colOff>399143</xdr:colOff>
      <xdr:row>37</xdr:row>
      <xdr:rowOff>108857</xdr:rowOff>
    </xdr:to>
    <xdr:graphicFrame macro="">
      <xdr:nvGraphicFramePr>
        <xdr:cNvPr id="5" name="Chart 4">
          <a:extLst>
            <a:ext uri="{FF2B5EF4-FFF2-40B4-BE49-F238E27FC236}">
              <a16:creationId xmlns:a16="http://schemas.microsoft.com/office/drawing/2014/main" id="{3B5F57AC-D939-4DF3-A21B-A79039D8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44132</xdr:colOff>
      <xdr:row>5</xdr:row>
      <xdr:rowOff>69783</xdr:rowOff>
    </xdr:from>
    <xdr:to>
      <xdr:col>17</xdr:col>
      <xdr:colOff>1349376</xdr:colOff>
      <xdr:row>20</xdr:row>
      <xdr:rowOff>56577</xdr:rowOff>
    </xdr:to>
    <xdr:graphicFrame macro="">
      <xdr:nvGraphicFramePr>
        <xdr:cNvPr id="6" name="Chart 5">
          <a:extLst>
            <a:ext uri="{FF2B5EF4-FFF2-40B4-BE49-F238E27FC236}">
              <a16:creationId xmlns:a16="http://schemas.microsoft.com/office/drawing/2014/main" id="{A1442EA7-1517-4045-A832-B39AF9C88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1029729</xdr:colOff>
      <xdr:row>38</xdr:row>
      <xdr:rowOff>98934</xdr:rowOff>
    </xdr:from>
    <xdr:to>
      <xdr:col>8</xdr:col>
      <xdr:colOff>892431</xdr:colOff>
      <xdr:row>75</xdr:row>
      <xdr:rowOff>79374</xdr:rowOff>
    </xdr:to>
    <xdr:graphicFrame macro="">
      <xdr:nvGraphicFramePr>
        <xdr:cNvPr id="7" name="Chart 6">
          <a:extLst>
            <a:ext uri="{FF2B5EF4-FFF2-40B4-BE49-F238E27FC236}">
              <a16:creationId xmlns:a16="http://schemas.microsoft.com/office/drawing/2014/main" id="{3D8615D2-D75A-4ED3-BC77-E496363C1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272143</xdr:colOff>
      <xdr:row>5</xdr:row>
      <xdr:rowOff>54428</xdr:rowOff>
    </xdr:from>
    <xdr:to>
      <xdr:col>13</xdr:col>
      <xdr:colOff>427559</xdr:colOff>
      <xdr:row>20</xdr:row>
      <xdr:rowOff>45596</xdr:rowOff>
    </xdr:to>
    <xdr:graphicFrame macro="">
      <xdr:nvGraphicFramePr>
        <xdr:cNvPr id="9" name="Chart 8">
          <a:extLst>
            <a:ext uri="{FF2B5EF4-FFF2-40B4-BE49-F238E27FC236}">
              <a16:creationId xmlns:a16="http://schemas.microsoft.com/office/drawing/2014/main" id="{5872A9E5-1EAC-48E5-BD0D-228FAE23A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39729</xdr:colOff>
      <xdr:row>40</xdr:row>
      <xdr:rowOff>87427</xdr:rowOff>
    </xdr:from>
    <xdr:to>
      <xdr:col>16</xdr:col>
      <xdr:colOff>169334</xdr:colOff>
      <xdr:row>45</xdr:row>
      <xdr:rowOff>98778</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093A16A7-6B2C-41B5-809F-53DD0CFD4E4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303691" y="8150729"/>
              <a:ext cx="2310171" cy="90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178593</xdr:colOff>
      <xdr:row>22</xdr:row>
      <xdr:rowOff>19845</xdr:rowOff>
    </xdr:from>
    <xdr:to>
      <xdr:col>17</xdr:col>
      <xdr:colOff>1372419</xdr:colOff>
      <xdr:row>38</xdr:row>
      <xdr:rowOff>99219</xdr:rowOff>
    </xdr:to>
    <xdr:graphicFrame macro="">
      <xdr:nvGraphicFramePr>
        <xdr:cNvPr id="12" name="Chart 11">
          <a:extLst>
            <a:ext uri="{FF2B5EF4-FFF2-40B4-BE49-F238E27FC236}">
              <a16:creationId xmlns:a16="http://schemas.microsoft.com/office/drawing/2014/main" id="{ED72990F-8831-4D06-9094-228FCA838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213374</xdr:colOff>
      <xdr:row>39</xdr:row>
      <xdr:rowOff>111315</xdr:rowOff>
    </xdr:from>
    <xdr:to>
      <xdr:col>13</xdr:col>
      <xdr:colOff>396098</xdr:colOff>
      <xdr:row>51</xdr:row>
      <xdr:rowOff>101949</xdr:rowOff>
    </xdr:to>
    <xdr:graphicFrame macro="">
      <xdr:nvGraphicFramePr>
        <xdr:cNvPr id="13" name="Chart 12">
          <a:extLst>
            <a:ext uri="{FF2B5EF4-FFF2-40B4-BE49-F238E27FC236}">
              <a16:creationId xmlns:a16="http://schemas.microsoft.com/office/drawing/2014/main" id="{8EA1C0BE-80A9-2136-B716-4C5E12E9A1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581025</xdr:colOff>
      <xdr:row>3</xdr:row>
      <xdr:rowOff>6350</xdr:rowOff>
    </xdr:from>
    <xdr:to>
      <xdr:col>10</xdr:col>
      <xdr:colOff>234950</xdr:colOff>
      <xdr:row>17</xdr:row>
      <xdr:rowOff>171450</xdr:rowOff>
    </xdr:to>
    <xdr:graphicFrame macro="">
      <xdr:nvGraphicFramePr>
        <xdr:cNvPr id="6" name="Chart 5">
          <a:extLst>
            <a:ext uri="{FF2B5EF4-FFF2-40B4-BE49-F238E27FC236}">
              <a16:creationId xmlns:a16="http://schemas.microsoft.com/office/drawing/2014/main" id="{79780510-9226-DB96-FE21-E5AA8F341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2.054025347221" createdVersion="8" refreshedVersion="8" minRefreshableVersion="3" recordCount="20" xr:uid="{753320AF-5E32-4722-9EB4-614C89B82EE5}">
  <cacheSource type="worksheet">
    <worksheetSource name="MonthlyRevenue"/>
  </cacheSource>
  <cacheFields count="5">
    <cacheField name="Month Date" numFmtId="14">
      <sharedItems containsSemiMixedTypes="0" containsNonDate="0" containsDate="1" containsString="0" minDate="2017-01-01T00:00:00" maxDate="2018-08-02T00:00:00" count="2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sharedItems>
    </cacheField>
    <cacheField name="total_orders" numFmtId="0">
      <sharedItems containsSemiMixedTypes="0" containsString="0" containsNumber="1" containsInteger="1" minValue="750" maxValue="7289"/>
    </cacheField>
    <cacheField name="revenue" numFmtId="0">
      <sharedItems containsSemiMixedTypes="0" containsString="0" containsNumber="1" minValue="111798.36" maxValue="987765.37"/>
    </cacheField>
    <cacheField name="Year" numFmtId="0">
      <sharedItems containsSemiMixedTypes="0" containsString="0" containsNumber="1" containsInteger="1" minValue="2017" maxValue="2018" count="2">
        <n v="2017"/>
        <n v="2018"/>
      </sharedItems>
    </cacheField>
    <cacheField name="mom_growth_pct" numFmtId="9">
      <sharedItems containsMixedTypes="1" containsNumber="1" minValue="-0.26497403933081803" maxValue="1.0950521993345876"/>
    </cacheField>
  </cacheFields>
  <extLst>
    <ext xmlns:x14="http://schemas.microsoft.com/office/spreadsheetml/2009/9/main" uri="{725AE2AE-9491-48be-B2B4-4EB974FC3084}">
      <x14:pivotCacheDefinition pivotCacheId="1695346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750"/>
    <n v="111798.36"/>
    <x v="0"/>
    <s v=""/>
  </r>
  <r>
    <x v="1"/>
    <n v="1653"/>
    <n v="234223.4"/>
    <x v="0"/>
    <n v="1.0950521993345876"/>
  </r>
  <r>
    <x v="2"/>
    <n v="2546"/>
    <n v="359198.85"/>
    <x v="0"/>
    <n v="0.53357371637505047"/>
  </r>
  <r>
    <x v="3"/>
    <n v="2303"/>
    <n v="340669.68"/>
    <x v="0"/>
    <n v="-5.1584714149279669E-2"/>
  </r>
  <r>
    <x v="4"/>
    <n v="3546"/>
    <n v="489338.25"/>
    <x v="0"/>
    <n v="0.43640094416385988"/>
  </r>
  <r>
    <x v="5"/>
    <n v="3135"/>
    <n v="421923.37"/>
    <x v="0"/>
    <n v="-0.13776744409414143"/>
  </r>
  <r>
    <x v="6"/>
    <n v="3872"/>
    <n v="481604.52"/>
    <x v="0"/>
    <n v="0.1414502116818038"/>
  </r>
  <r>
    <x v="7"/>
    <n v="4193"/>
    <n v="554699.69999999995"/>
    <x v="0"/>
    <n v="0.15177428152044739"/>
  </r>
  <r>
    <x v="8"/>
    <n v="4150"/>
    <n v="607399.67000000004"/>
    <x v="0"/>
    <n v="9.500630701621092E-2"/>
  </r>
  <r>
    <x v="9"/>
    <n v="4478"/>
    <n v="648247.65"/>
    <x v="0"/>
    <n v="6.7250579836502011E-2"/>
  </r>
  <r>
    <x v="10"/>
    <n v="7289"/>
    <n v="987765.37"/>
    <x v="0"/>
    <n v="0.52374693529548466"/>
  </r>
  <r>
    <x v="11"/>
    <n v="5513"/>
    <n v="726033.19"/>
    <x v="0"/>
    <n v="-0.26497403933081803"/>
  </r>
  <r>
    <x v="12"/>
    <n v="7069"/>
    <n v="924645"/>
    <x v="1"/>
    <n v="0.27355748020279907"/>
  </r>
  <r>
    <x v="13"/>
    <n v="6555"/>
    <n v="826437.13"/>
    <x v="1"/>
    <n v="-0.10621143249571456"/>
  </r>
  <r>
    <x v="14"/>
    <n v="7003"/>
    <n v="953356.25"/>
    <x v="1"/>
    <n v="0.1535738356770103"/>
  </r>
  <r>
    <x v="15"/>
    <n v="6798"/>
    <n v="973534.09"/>
    <x v="1"/>
    <n v="2.1165057658141924E-2"/>
  </r>
  <r>
    <x v="16"/>
    <n v="6749"/>
    <n v="977544.69"/>
    <x v="1"/>
    <n v="4.1196297502021492E-3"/>
  </r>
  <r>
    <x v="17"/>
    <n v="6099"/>
    <n v="856077.86"/>
    <x v="1"/>
    <n v="-0.12425706082041116"/>
  </r>
  <r>
    <x v="18"/>
    <n v="6159"/>
    <n v="867953.46"/>
    <x v="1"/>
    <n v="1.3872102708041038E-2"/>
  </r>
  <r>
    <x v="19"/>
    <n v="6351"/>
    <n v="838576.64000000001"/>
    <x v="1"/>
    <n v="-3.384607741525674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CBDB0E-61EC-40BB-B936-C715F3472BA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5">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dataField="1" showAll="0"/>
    <pivotField showAll="0">
      <items count="3">
        <item x="0"/>
        <item h="1" x="1"/>
        <item t="default"/>
      </items>
    </pivotField>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720CAF3E-863B-4994-8F95-D46EBE01E620}" autoFormatId="16" applyNumberFormats="0" applyBorderFormats="0" applyFontFormats="0" applyPatternFormats="0" applyAlignmentFormats="0" applyWidthHeightFormats="0">
  <queryTableRefresh nextId="6" unboundColumnsRight="1">
    <queryTableFields count="5">
      <queryTableField id="1" name="Month Date" tableColumnId="1"/>
      <queryTableField id="2" name="total_orders" tableColumnId="2"/>
      <queryTableField id="3" name="revenue" tableColumnId="3"/>
      <queryTableField id="4" name="Year"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1" xr16:uid="{CA8B08AC-FA6B-492E-9FE2-D9EBE3FD53A8}" autoFormatId="16" applyNumberFormats="0" applyBorderFormats="0" applyFontFormats="0" applyPatternFormats="0" applyAlignmentFormats="0" applyWidthHeightFormats="0">
  <queryTableRefresh nextId="6">
    <queryTableFields count="5">
      <queryTableField id="1" name="category" tableColumnId="1"/>
      <queryTableField id="2" name="orders" tableColumnId="2"/>
      <queryTableField id="3" name="revenue" tableColumnId="3"/>
      <queryTableField id="4" name="revenue_share_pct" tableColumnId="4"/>
      <queryTableField id="5" name="revenue_rank"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97176474-D03A-43A6-BE14-5BFAD5F52339}" autoFormatId="16" applyNumberFormats="0" applyBorderFormats="0" applyFontFormats="0" applyPatternFormats="0" applyAlignmentFormats="0" applyWidthHeightFormats="0">
  <queryTableRefresh nextId="6">
    <queryTableFields count="5">
      <queryTableField id="1" name="category" tableColumnId="1"/>
      <queryTableField id="2" name="orders" tableColumnId="2"/>
      <queryTableField id="3" name="revenue" tableColumnId="3"/>
      <queryTableField id="4" name="revenue_share_pct" tableColumnId="4"/>
      <queryTableField id="5" name="revenue_rank"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F5C1348-D479-4DC2-9180-C0433DCC57FA}" autoFormatId="16" applyNumberFormats="0" applyBorderFormats="0" applyFontFormats="0" applyPatternFormats="0" applyAlignmentFormats="0" applyWidthHeightFormats="0">
  <queryTableRefresh nextId="6" unboundColumnsRight="1">
    <queryTableFields count="5">
      <queryTableField id="1" name="customer_type" tableColumnId="1"/>
      <queryTableField id="2" name="customers" tableColumnId="2"/>
      <queryTableField id="3" name="revenue" tableColumnId="3"/>
      <queryTableField id="4" name="revenue_share_pct" tableColumnId="4"/>
      <queryTableField id="5" dataBound="0"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14C0C60E-BC85-4C33-B9F9-0DBA1C28F153}" autoFormatId="16" applyNumberFormats="0" applyBorderFormats="0" applyFontFormats="0" applyPatternFormats="0" applyAlignmentFormats="0" applyWidthHeightFormats="0">
  <queryTableRefresh nextId="9">
    <queryTableFields count="8">
      <queryTableField id="1" name="Cohort Month" tableColumnId="1"/>
      <queryTableField id="2" name="M0" tableColumnId="2"/>
      <queryTableField id="3" name="M1" tableColumnId="3"/>
      <queryTableField id="4" name="M2" tableColumnId="4"/>
      <queryTableField id="5" name="M3" tableColumnId="5"/>
      <queryTableField id="6" name="M4" tableColumnId="6"/>
      <queryTableField id="7" name="M5" tableColumnId="7"/>
      <queryTableField id="8" name="M6"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8" xr16:uid="{F9A9A5D6-A06C-4065-BFA8-498458DB2B88}" autoFormatId="16" applyNumberFormats="0" applyBorderFormats="0" applyFontFormats="0" applyPatternFormats="0" applyAlignmentFormats="0" applyWidthHeightFormats="0">
  <queryTableRefresh nextId="5">
    <queryTableFields count="4">
      <queryTableField id="1" name="review_score" tableColumnId="1"/>
      <queryTableField id="2" name="reviews" tableColumnId="2"/>
      <queryTableField id="3" name="avg_delivery_days" tableColumnId="3"/>
      <queryTableField id="4" name="pct_late"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3EC912E5-9503-416E-9B19-42D2E550B576}" autoFormatId="16" applyNumberFormats="0" applyBorderFormats="0" applyFontFormats="0" applyPatternFormats="0" applyAlignmentFormats="0" applyWidthHeightFormats="0">
  <queryTableRefresh nextId="4">
    <queryTableFields count="3">
      <queryTableField id="1" name="delivery_status" tableColumnId="1"/>
      <queryTableField id="2" name="reviews" tableColumnId="2"/>
      <queryTableField id="3" name="avg_review_scor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FB04F4E9-0683-4059-9721-36C0F95F538D}" autoFormatId="16" applyNumberFormats="0" applyBorderFormats="0" applyFontFormats="0" applyPatternFormats="0" applyAlignmentFormats="0" applyWidthHeightFormats="0">
  <queryTableRefresh nextId="5">
    <queryTableFields count="4">
      <queryTableField id="1" name="State" tableColumnId="1"/>
      <queryTableField id="2" name="customer_state" tableColumnId="2"/>
      <queryTableField id="3" name="orders" tableColumnId="3"/>
      <queryTableField id="4" name="avg_delivery_days"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7" xr16:uid="{665FD530-7310-4ED5-9BD4-4E0694208B96}" autoFormatId="16" applyNumberFormats="0" applyBorderFormats="0" applyFontFormats="0" applyPatternFormats="0" applyAlignmentFormats="0" applyWidthHeightFormats="0">
  <queryTableRefresh nextId="6">
    <queryTableFields count="5">
      <queryTableField id="1" name="payment_type" tableColumnId="1"/>
      <queryTableField id="2" name="orders" tableColumnId="2"/>
      <queryTableField id="3" name="total_value" tableColumnId="3"/>
      <queryTableField id="4" name="value_share_pct" tableColumnId="4"/>
      <queryTableField id="5" name="avg_installments"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5" xr16:uid="{734E83B1-02EF-4634-89C9-B377EB5F3B88}" autoFormatId="16" applyNumberFormats="0" applyBorderFormats="0" applyFontFormats="0" applyPatternFormats="0" applyAlignmentFormats="0" applyWidthHeightFormats="0">
  <queryTableRefresh nextId="3">
    <queryTableFields count="2">
      <queryTableField id="1" name="Metric" tableColumnId="1"/>
      <queryTableField id="2" name="Valu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0" xr16:uid="{77377F7F-2D62-46A2-A31E-FF3D4C658948}" autoFormatId="16" applyNumberFormats="0" applyBorderFormats="0" applyFontFormats="0" applyPatternFormats="0" applyAlignmentFormats="0" applyWidthHeightFormats="0">
  <queryTableRefresh nextId="3">
    <queryTableFields count="2">
      <queryTableField id="1" name="Code" tableColumnId="1"/>
      <queryTableField id="2" name="Stat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A8DA7EC-128C-4E56-9BAA-2ED0FB67C1F0}" sourceName="Year">
  <pivotTables>
    <pivotTable tabId="2" name="PivotTable11"/>
  </pivotTables>
  <data>
    <tabular pivotCacheId="1695346713">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4F7B54-4943-4D35-9869-1C483605859D}"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2C5EEF9-C32B-47CB-B780-0D2C062BD3E7}"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D500E1-829C-416E-8168-CCA2AC3823BE}" name="MonthlyRevenue" displayName="MonthlyRevenue" ref="A1:E21" tableType="queryTable" totalsRowShown="0">
  <autoFilter ref="A1:E21" xr:uid="{33D500E1-829C-416E-8168-CCA2AC3823BE}"/>
  <tableColumns count="5">
    <tableColumn id="1" xr3:uid="{5E9ACEEA-D2C0-456A-BC85-56390320535A}" uniqueName="1" name="Month Date" queryTableFieldId="1" dataDxfId="14"/>
    <tableColumn id="2" xr3:uid="{E39D69DF-D0D8-475B-8EE5-B2DBD3E518B1}" uniqueName="2" name="total_orders" queryTableFieldId="2"/>
    <tableColumn id="3" xr3:uid="{40372801-AACD-4393-B13B-F5FF30501325}" uniqueName="3" name="revenue" queryTableFieldId="3"/>
    <tableColumn id="4" xr3:uid="{7829AE29-1FBE-4983-8483-8D8544DFB65E}" uniqueName="4" name="Year" queryTableFieldId="4"/>
    <tableColumn id="5" xr3:uid="{1251BDF6-1C13-4725-A018-77B37CB8B49B}" uniqueName="5" name="mom_growth_pct" queryTableFieldId="5" dataDxfId="13" dataCellStyle="Percent">
      <calculatedColumnFormula>IFERROR((MonthlyRevenue[[#This Row],[revenue]]-C1)/MonthlyRevenue[[#This Row],[revenue]],"")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44A687-01E2-4BF9-BFC4-16429CCA517D}" name="Top10Categories" displayName="Top10Categories" ref="A1:E11" tableType="queryTable" totalsRowShown="0">
  <autoFilter ref="A1:E11" xr:uid="{0744A687-01E2-4BF9-BFC4-16429CCA517D}"/>
  <tableColumns count="5">
    <tableColumn id="1" xr3:uid="{79A3E966-E3D6-428E-8EAD-12538952307C}" uniqueName="1" name="category" queryTableFieldId="1" dataDxfId="12"/>
    <tableColumn id="2" xr3:uid="{6071D6AD-BFF2-435F-A61D-AE6BFA9EA673}" uniqueName="2" name="orders" queryTableFieldId="2"/>
    <tableColumn id="3" xr3:uid="{C698D3AB-D2B9-4DFA-9EDF-48E330E85170}" uniqueName="3" name="revenue" queryTableFieldId="3"/>
    <tableColumn id="4" xr3:uid="{851C9330-6D7B-41A6-B0B6-FA35D4A5DBFC}" uniqueName="4" name="revenue_share_pct" queryTableFieldId="4"/>
    <tableColumn id="5" xr3:uid="{977D4AF0-EAA4-4F19-8A52-451BEA259DD8}" uniqueName="5" name="revenue_rank"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CCBC3F-9903-4AC2-8AD4-39279F2244F0}" name="Categories" displayName="Categories" ref="A1:E75" tableType="queryTable" totalsRowShown="0">
  <autoFilter ref="A1:E75" xr:uid="{39CCBC3F-9903-4AC2-8AD4-39279F2244F0}"/>
  <tableColumns count="5">
    <tableColumn id="1" xr3:uid="{23B246E2-10FB-4A89-B2E2-B34414AC0761}" uniqueName="1" name="category" queryTableFieldId="1" dataDxfId="11"/>
    <tableColumn id="2" xr3:uid="{72970886-F2F3-4FF9-9638-08D31CEBF883}" uniqueName="2" name="orders" queryTableFieldId="2"/>
    <tableColumn id="3" xr3:uid="{A6668043-68D5-4040-B1D5-AB952A23563E}" uniqueName="3" name="revenue" queryTableFieldId="3"/>
    <tableColumn id="4" xr3:uid="{1E7C521A-1192-41FB-8FD8-3C76A0B442A0}" uniqueName="4" name="revenue_share_pct" queryTableFieldId="4"/>
    <tableColumn id="5" xr3:uid="{9B20460C-1B51-42E6-96E4-1BA1219D6485}" uniqueName="5" name="revenue_rank"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A4B9B6-79CF-40E3-9030-0DE357713D0D}" name="CustomerType" displayName="CustomerType" ref="A1:E3" tableType="queryTable" totalsRowShown="0">
  <autoFilter ref="A1:E3" xr:uid="{66A4B9B6-79CF-40E3-9030-0DE357713D0D}"/>
  <tableColumns count="5">
    <tableColumn id="1" xr3:uid="{FA7B88DC-52C9-4AB0-9318-C04D40AD1FF2}" uniqueName="1" name="customer_type" queryTableFieldId="1" dataDxfId="10"/>
    <tableColumn id="2" xr3:uid="{02BF5FDB-F55D-43DC-A602-DE844FAD14C8}" uniqueName="2" name="customers" queryTableFieldId="2"/>
    <tableColumn id="3" xr3:uid="{DA805F90-0242-40A9-A8D4-713AB2A12B43}" uniqueName="3" name="revenue" queryTableFieldId="3"/>
    <tableColumn id="4" xr3:uid="{3EBAD912-A59A-4C7A-9242-83FCF0194E6C}" uniqueName="4" name="revenue_share_pct" queryTableFieldId="4"/>
    <tableColumn id="5" xr3:uid="{79B2C39A-9C66-428F-9F2E-A1CF544C91ED}" uniqueName="5" name="customers_share_pct" queryTableFieldId="5" dataDxfId="9">
      <calculatedColumnFormula>CustomerType[[#This Row],[customers]]/SUM(CustomerType[customers])</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58DFB9-536B-43CD-84C5-2EE335B23FE7}" name="Cohort" displayName="Cohort" ref="A1:H15" tableType="queryTable" totalsRowShown="0">
  <autoFilter ref="A1:H15" xr:uid="{9A58DFB9-536B-43CD-84C5-2EE335B23FE7}"/>
  <tableColumns count="8">
    <tableColumn id="1" xr3:uid="{FB55EBEA-19D7-48BD-888E-1B6039C62A72}" uniqueName="1" name="Cohort Month" queryTableFieldId="1" dataDxfId="8"/>
    <tableColumn id="2" xr3:uid="{27B5252B-B82F-48EE-9722-7DB5E9DACD8B}" uniqueName="2" name="M0" queryTableFieldId="2"/>
    <tableColumn id="3" xr3:uid="{DACEA384-B7EE-4C4B-80DA-9DD42070A7CF}" uniqueName="3" name="M1" queryTableFieldId="3"/>
    <tableColumn id="4" xr3:uid="{A21F8A86-AF7A-4008-93DF-D56CBFF5EC19}" uniqueName="4" name="M2" queryTableFieldId="4"/>
    <tableColumn id="5" xr3:uid="{506C3A31-FB10-455C-8C30-8A642B40EBB0}" uniqueName="5" name="M3" queryTableFieldId="5"/>
    <tableColumn id="6" xr3:uid="{04806A50-4D81-4385-AFFE-3219CAC646D4}" uniqueName="6" name="M4" queryTableFieldId="6"/>
    <tableColumn id="7" xr3:uid="{38703B53-96D6-4D5D-A458-7189CD675808}" uniqueName="7" name="M5" queryTableFieldId="7"/>
    <tableColumn id="8" xr3:uid="{00941A7E-2F60-4BBE-B8CD-90247733007B}" uniqueName="8" name="M6" queryTableFieldId="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37FF09-520F-4C4F-8C77-11DCB0308D79}" name="ReviewVsDelivery" displayName="ReviewVsDelivery" ref="A1:D6" tableType="queryTable" totalsRowShown="0">
  <autoFilter ref="A1:D6" xr:uid="{5E37FF09-520F-4C4F-8C77-11DCB0308D79}"/>
  <tableColumns count="4">
    <tableColumn id="1" xr3:uid="{22293378-CEC3-4C49-94D7-FC93B3170160}" uniqueName="1" name="review_score" queryTableFieldId="1" dataDxfId="7"/>
    <tableColumn id="2" xr3:uid="{44EE7843-5158-438D-B115-F807CCF9F277}" uniqueName="2" name="reviews" queryTableFieldId="2"/>
    <tableColumn id="3" xr3:uid="{17BE75EA-E753-4E94-BA5C-C43BC6FC78D5}" uniqueName="3" name="avg_delivery_days" queryTableFieldId="3"/>
    <tableColumn id="4" xr3:uid="{D27C11A9-7A4F-44E2-9E0D-2CDB0EEAB3D1}" uniqueName="4" name="pct_late"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580F27-6425-4025-A2F6-4C2E777FB0D5}" name="_04b_late_vs_ontime" displayName="_04b_late_vs_ontime" ref="A1:C3" tableType="queryTable" totalsRowShown="0">
  <autoFilter ref="A1:C3" xr:uid="{4E580F27-6425-4025-A2F6-4C2E777FB0D5}"/>
  <tableColumns count="3">
    <tableColumn id="1" xr3:uid="{8B6D92A6-5707-4FC3-99F7-DBF3B30A7759}" uniqueName="1" name="delivery_status" queryTableFieldId="1" dataDxfId="6"/>
    <tableColumn id="2" xr3:uid="{031D34A4-3813-415C-BDE2-CBA0A2984233}" uniqueName="2" name="reviews" queryTableFieldId="2"/>
    <tableColumn id="3" xr3:uid="{04EB086B-5CC7-47F9-B434-A091A5D4E9B8}" uniqueName="3" name="avg_review_score" queryTableField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C47D290-F5FD-468A-9B80-8C2985B22677}" name="StateDelivery" displayName="StateDelivery" ref="A1:D28" tableType="queryTable" totalsRowShown="0">
  <autoFilter ref="A1:D28" xr:uid="{FC47D290-F5FD-468A-9B80-8C2985B22677}"/>
  <tableColumns count="4">
    <tableColumn id="1" xr3:uid="{9F7578BE-CD23-4C3E-8096-9FCA72531B17}" uniqueName="1" name="State" queryTableFieldId="1" dataDxfId="5"/>
    <tableColumn id="2" xr3:uid="{C0DEB738-F384-403B-8022-16A45C858347}" uniqueName="2" name="customer_state" queryTableFieldId="2" dataDxfId="4"/>
    <tableColumn id="3" xr3:uid="{44B848BD-A8F4-4762-AED9-BB0537C4EEC9}" uniqueName="3" name="orders" queryTableFieldId="3"/>
    <tableColumn id="4" xr3:uid="{8C7371F8-6472-4645-8270-02B92C53DBD2}" uniqueName="4" name="avg_delivery_days"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50B70DB-19D5-451B-B0C3-85CCF4A26154}" name="Payments" displayName="Payments" ref="A1:E5" tableType="queryTable" totalsRowShown="0">
  <autoFilter ref="A1:E5" xr:uid="{B50B70DB-19D5-451B-B0C3-85CCF4A26154}"/>
  <tableColumns count="5">
    <tableColumn id="1" xr3:uid="{7AAB51D1-3DCF-4031-A719-0F6DB4E3B34F}" uniqueName="1" name="payment_type" queryTableFieldId="1" dataDxfId="3"/>
    <tableColumn id="2" xr3:uid="{8455E6F8-707B-4401-9231-2F45B45A7111}" uniqueName="2" name="orders" queryTableFieldId="2"/>
    <tableColumn id="3" xr3:uid="{7E74D4D0-B6DF-4097-9FE5-0BAC73EF3383}" uniqueName="3" name="total_value" queryTableFieldId="3"/>
    <tableColumn id="4" xr3:uid="{8E19732D-48A8-42F6-917B-21B12FD0C942}" uniqueName="4" name="value_share_pct" queryTableFieldId="4"/>
    <tableColumn id="5" xr3:uid="{7FFE433D-92B9-42B9-8810-F63ABEF706FC}" uniqueName="5" name="avg_installments"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EAA312-2E5D-4D9C-B5D3-A29E0BDCE1B8}" name="KPIs" displayName="KPIs" ref="A1:B6" tableType="queryTable" totalsRowShown="0">
  <autoFilter ref="A1:B6" xr:uid="{AAEAA312-2E5D-4D9C-B5D3-A29E0BDCE1B8}"/>
  <tableColumns count="2">
    <tableColumn id="1" xr3:uid="{D60DBD6A-451D-4586-B582-8E274E214C10}" uniqueName="1" name="Metric" queryTableFieldId="1" dataDxfId="2"/>
    <tableColumn id="2" xr3:uid="{B375AF57-5901-4621-95C4-12A23FAD7C3F}" uniqueName="2" name="Value"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DB8665-FC29-40CE-AD67-C68E54F2D0D8}" name="States" displayName="States" ref="A1:B28" tableType="queryTable" totalsRowShown="0">
  <autoFilter ref="A1:B28" xr:uid="{95DB8665-FC29-40CE-AD67-C68E54F2D0D8}"/>
  <tableColumns count="2">
    <tableColumn id="1" xr3:uid="{0AEBC86E-55AD-411D-B6E1-9714A39BCF46}" uniqueName="1" name="Code" queryTableFieldId="1" dataDxfId="1"/>
    <tableColumn id="2" xr3:uid="{C40F6130-41A7-4B4F-BC51-D9D46EE6021B}" uniqueName="2" name="Stat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4BB1-9844-4B11-BA8E-EB95E7B5FE38}">
  <dimension ref="A1"/>
  <sheetViews>
    <sheetView workbookViewId="0">
      <selection activeCell="B1" sqref="B1"/>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1B22-BCFF-4E6C-9BB9-3111A3DD09EF}">
  <dimension ref="A1:E21"/>
  <sheetViews>
    <sheetView zoomScale="66" zoomScaleNormal="66" workbookViewId="0">
      <selection activeCell="I19" sqref="I19"/>
    </sheetView>
  </sheetViews>
  <sheetFormatPr defaultRowHeight="14.5" x14ac:dyDescent="0.35"/>
  <cols>
    <col min="1" max="1" width="13.26953125" bestFit="1" customWidth="1"/>
    <col min="2" max="2" width="13.54296875" bestFit="1" customWidth="1"/>
    <col min="3" max="3" width="9.90625" bestFit="1" customWidth="1"/>
    <col min="4" max="4" width="6.81640625" bestFit="1" customWidth="1"/>
    <col min="5" max="5" width="20.453125" bestFit="1" customWidth="1"/>
  </cols>
  <sheetData>
    <row r="1" spans="1:5" x14ac:dyDescent="0.35">
      <c r="A1" t="s">
        <v>7</v>
      </c>
      <c r="B1" t="s">
        <v>2</v>
      </c>
      <c r="C1" t="s">
        <v>8</v>
      </c>
      <c r="D1" t="s">
        <v>9</v>
      </c>
      <c r="E1" t="s">
        <v>10</v>
      </c>
    </row>
    <row r="2" spans="1:5" x14ac:dyDescent="0.35">
      <c r="A2" s="1">
        <v>42736</v>
      </c>
      <c r="B2">
        <v>750</v>
      </c>
      <c r="C2">
        <v>111798.36</v>
      </c>
      <c r="D2">
        <v>2017</v>
      </c>
      <c r="E2" s="2" t="str">
        <f>IFERROR((MonthlyRevenue[[#This Row],[revenue]]-MonthlyRevenue[[#Headers],[revenue]])/MonthlyRevenue[[#This Row],[revenue]],"")</f>
        <v/>
      </c>
    </row>
    <row r="3" spans="1:5" x14ac:dyDescent="0.35">
      <c r="A3" s="1">
        <v>42767</v>
      </c>
      <c r="B3">
        <v>1653</v>
      </c>
      <c r="C3">
        <v>234223.4</v>
      </c>
      <c r="D3">
        <v>2017</v>
      </c>
      <c r="E3" s="2">
        <f>IFERROR((MonthlyRevenue[[#This Row],[revenue]]-C2)/C2,"")</f>
        <v>1.0950521993345876</v>
      </c>
    </row>
    <row r="4" spans="1:5" x14ac:dyDescent="0.35">
      <c r="A4" s="1">
        <v>42795</v>
      </c>
      <c r="B4">
        <v>2546</v>
      </c>
      <c r="C4">
        <v>359198.85</v>
      </c>
      <c r="D4">
        <v>2017</v>
      </c>
      <c r="E4" s="2">
        <f>IFERROR((MonthlyRevenue[[#This Row],[revenue]]-C3)/C3,"")</f>
        <v>0.53357371637505047</v>
      </c>
    </row>
    <row r="5" spans="1:5" x14ac:dyDescent="0.35">
      <c r="A5" s="1">
        <v>42826</v>
      </c>
      <c r="B5">
        <v>2303</v>
      </c>
      <c r="C5">
        <v>340669.68</v>
      </c>
      <c r="D5">
        <v>2017</v>
      </c>
      <c r="E5" s="2">
        <f>IFERROR((MonthlyRevenue[[#This Row],[revenue]]-C4)/C4,"")</f>
        <v>-5.1584714149279669E-2</v>
      </c>
    </row>
    <row r="6" spans="1:5" x14ac:dyDescent="0.35">
      <c r="A6" s="1">
        <v>42856</v>
      </c>
      <c r="B6">
        <v>3546</v>
      </c>
      <c r="C6">
        <v>489338.25</v>
      </c>
      <c r="D6">
        <v>2017</v>
      </c>
      <c r="E6" s="2">
        <f>IFERROR((MonthlyRevenue[[#This Row],[revenue]]-C5)/C5,"")</f>
        <v>0.43640094416385988</v>
      </c>
    </row>
    <row r="7" spans="1:5" x14ac:dyDescent="0.35">
      <c r="A7" s="1">
        <v>42887</v>
      </c>
      <c r="B7">
        <v>3135</v>
      </c>
      <c r="C7">
        <v>421923.37</v>
      </c>
      <c r="D7">
        <v>2017</v>
      </c>
      <c r="E7" s="2">
        <f>IFERROR((MonthlyRevenue[[#This Row],[revenue]]-C6)/C6,"")</f>
        <v>-0.13776744409414143</v>
      </c>
    </row>
    <row r="8" spans="1:5" x14ac:dyDescent="0.35">
      <c r="A8" s="1">
        <v>42917</v>
      </c>
      <c r="B8">
        <v>3872</v>
      </c>
      <c r="C8">
        <v>481604.52</v>
      </c>
      <c r="D8">
        <v>2017</v>
      </c>
      <c r="E8" s="2">
        <f>IFERROR((MonthlyRevenue[[#This Row],[revenue]]-C7)/C7,"")</f>
        <v>0.1414502116818038</v>
      </c>
    </row>
    <row r="9" spans="1:5" x14ac:dyDescent="0.35">
      <c r="A9" s="1">
        <v>42948</v>
      </c>
      <c r="B9">
        <v>4193</v>
      </c>
      <c r="C9">
        <v>554699.69999999995</v>
      </c>
      <c r="D9">
        <v>2017</v>
      </c>
      <c r="E9" s="2">
        <f>IFERROR((MonthlyRevenue[[#This Row],[revenue]]-C8)/C8,"")</f>
        <v>0.15177428152044739</v>
      </c>
    </row>
    <row r="10" spans="1:5" x14ac:dyDescent="0.35">
      <c r="A10" s="1">
        <v>42979</v>
      </c>
      <c r="B10">
        <v>4150</v>
      </c>
      <c r="C10">
        <v>607399.67000000004</v>
      </c>
      <c r="D10">
        <v>2017</v>
      </c>
      <c r="E10" s="2">
        <f>IFERROR((MonthlyRevenue[[#This Row],[revenue]]-C9)/C9,"")</f>
        <v>9.500630701621092E-2</v>
      </c>
    </row>
    <row r="11" spans="1:5" x14ac:dyDescent="0.35">
      <c r="A11" s="1">
        <v>43009</v>
      </c>
      <c r="B11">
        <v>4478</v>
      </c>
      <c r="C11">
        <v>648247.65</v>
      </c>
      <c r="D11">
        <v>2017</v>
      </c>
      <c r="E11" s="2">
        <f>IFERROR((MonthlyRevenue[[#This Row],[revenue]]-C10)/C10,"")</f>
        <v>6.7250579836502011E-2</v>
      </c>
    </row>
    <row r="12" spans="1:5" x14ac:dyDescent="0.35">
      <c r="A12" s="1">
        <v>43040</v>
      </c>
      <c r="B12">
        <v>7289</v>
      </c>
      <c r="C12">
        <v>987765.37</v>
      </c>
      <c r="D12">
        <v>2017</v>
      </c>
      <c r="E12" s="2">
        <f>IFERROR((MonthlyRevenue[[#This Row],[revenue]]-C11)/C11,"")</f>
        <v>0.52374693529548466</v>
      </c>
    </row>
    <row r="13" spans="1:5" x14ac:dyDescent="0.35">
      <c r="A13" s="1">
        <v>43070</v>
      </c>
      <c r="B13">
        <v>5513</v>
      </c>
      <c r="C13">
        <v>726033.19</v>
      </c>
      <c r="D13">
        <v>2017</v>
      </c>
      <c r="E13" s="2">
        <f>IFERROR((MonthlyRevenue[[#This Row],[revenue]]-C12)/C12,"")</f>
        <v>-0.26497403933081803</v>
      </c>
    </row>
    <row r="14" spans="1:5" x14ac:dyDescent="0.35">
      <c r="A14" s="1">
        <v>43101</v>
      </c>
      <c r="B14">
        <v>7069</v>
      </c>
      <c r="C14">
        <v>924645</v>
      </c>
      <c r="D14">
        <v>2018</v>
      </c>
      <c r="E14" s="2">
        <f>IFERROR((MonthlyRevenue[[#This Row],[revenue]]-C13)/C13,"")</f>
        <v>0.27355748020279907</v>
      </c>
    </row>
    <row r="15" spans="1:5" x14ac:dyDescent="0.35">
      <c r="A15" s="1">
        <v>43132</v>
      </c>
      <c r="B15">
        <v>6555</v>
      </c>
      <c r="C15">
        <v>826437.13</v>
      </c>
      <c r="D15">
        <v>2018</v>
      </c>
      <c r="E15" s="2">
        <f>IFERROR((MonthlyRevenue[[#This Row],[revenue]]-C14)/C14,"")</f>
        <v>-0.10621143249571456</v>
      </c>
    </row>
    <row r="16" spans="1:5" x14ac:dyDescent="0.35">
      <c r="A16" s="1">
        <v>43160</v>
      </c>
      <c r="B16">
        <v>7003</v>
      </c>
      <c r="C16">
        <v>953356.25</v>
      </c>
      <c r="D16">
        <v>2018</v>
      </c>
      <c r="E16" s="2">
        <f>IFERROR((MonthlyRevenue[[#This Row],[revenue]]-C15)/C15,"")</f>
        <v>0.1535738356770103</v>
      </c>
    </row>
    <row r="17" spans="1:5" x14ac:dyDescent="0.35">
      <c r="A17" s="1">
        <v>43191</v>
      </c>
      <c r="B17">
        <v>6798</v>
      </c>
      <c r="C17">
        <v>973534.09</v>
      </c>
      <c r="D17">
        <v>2018</v>
      </c>
      <c r="E17" s="2">
        <f>IFERROR((MonthlyRevenue[[#This Row],[revenue]]-C16)/C16,"")</f>
        <v>2.1165057658141924E-2</v>
      </c>
    </row>
    <row r="18" spans="1:5" x14ac:dyDescent="0.35">
      <c r="A18" s="1">
        <v>43221</v>
      </c>
      <c r="B18">
        <v>6749</v>
      </c>
      <c r="C18">
        <v>977544.69</v>
      </c>
      <c r="D18">
        <v>2018</v>
      </c>
      <c r="E18" s="2">
        <f>IFERROR((MonthlyRevenue[[#This Row],[revenue]]-C17)/C17,"")</f>
        <v>4.1196297502021492E-3</v>
      </c>
    </row>
    <row r="19" spans="1:5" x14ac:dyDescent="0.35">
      <c r="A19" s="1">
        <v>43252</v>
      </c>
      <c r="B19">
        <v>6099</v>
      </c>
      <c r="C19">
        <v>856077.86</v>
      </c>
      <c r="D19">
        <v>2018</v>
      </c>
      <c r="E19" s="2">
        <f>IFERROR((MonthlyRevenue[[#This Row],[revenue]]-C18)/C18,"")</f>
        <v>-0.12425706082041116</v>
      </c>
    </row>
    <row r="20" spans="1:5" x14ac:dyDescent="0.35">
      <c r="A20" s="1">
        <v>43282</v>
      </c>
      <c r="B20">
        <v>6159</v>
      </c>
      <c r="C20">
        <v>867953.46</v>
      </c>
      <c r="D20">
        <v>2018</v>
      </c>
      <c r="E20" s="2">
        <f>IFERROR((MonthlyRevenue[[#This Row],[revenue]]-C19)/C19,"")</f>
        <v>1.3872102708041038E-2</v>
      </c>
    </row>
    <row r="21" spans="1:5" x14ac:dyDescent="0.35">
      <c r="A21" s="1">
        <v>43313</v>
      </c>
      <c r="B21">
        <v>6351</v>
      </c>
      <c r="C21">
        <v>838576.64000000001</v>
      </c>
      <c r="D21">
        <v>2018</v>
      </c>
      <c r="E21" s="2">
        <f>IFERROR((MonthlyRevenue[[#This Row],[revenue]]-C20)/C20,"")</f>
        <v>-3.3846077415256748E-2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58F1-BDF2-4B82-BC76-D479B5AEFCBB}">
  <dimension ref="A1:E11"/>
  <sheetViews>
    <sheetView topLeftCell="B1" zoomScale="64" workbookViewId="0">
      <selection activeCell="F21" sqref="F21"/>
    </sheetView>
  </sheetViews>
  <sheetFormatPr defaultRowHeight="14.5" x14ac:dyDescent="0.35"/>
  <cols>
    <col min="1" max="1" width="20.1796875" bestFit="1" customWidth="1"/>
    <col min="2" max="2" width="8.54296875" bestFit="1" customWidth="1"/>
    <col min="3" max="3" width="10.81640625" bestFit="1" customWidth="1"/>
    <col min="4" max="4" width="19.36328125" bestFit="1" customWidth="1"/>
    <col min="5" max="5" width="14.7265625" bestFit="1" customWidth="1"/>
  </cols>
  <sheetData>
    <row r="1" spans="1:5" x14ac:dyDescent="0.35">
      <c r="A1" t="s">
        <v>11</v>
      </c>
      <c r="B1" t="s">
        <v>12</v>
      </c>
      <c r="C1" t="s">
        <v>8</v>
      </c>
      <c r="D1" t="s">
        <v>13</v>
      </c>
      <c r="E1" t="s">
        <v>14</v>
      </c>
    </row>
    <row r="2" spans="1:5" x14ac:dyDescent="0.35">
      <c r="A2" t="s">
        <v>15</v>
      </c>
      <c r="B2">
        <v>8647</v>
      </c>
      <c r="C2">
        <v>1233131.72</v>
      </c>
      <c r="D2">
        <v>9.33</v>
      </c>
      <c r="E2">
        <v>1</v>
      </c>
    </row>
    <row r="3" spans="1:5" x14ac:dyDescent="0.35">
      <c r="A3" t="s">
        <v>16</v>
      </c>
      <c r="B3">
        <v>5495</v>
      </c>
      <c r="C3">
        <v>1166176.98</v>
      </c>
      <c r="D3">
        <v>8.82</v>
      </c>
      <c r="E3">
        <v>2</v>
      </c>
    </row>
    <row r="4" spans="1:5" x14ac:dyDescent="0.35">
      <c r="A4" t="s">
        <v>17</v>
      </c>
      <c r="B4">
        <v>9272</v>
      </c>
      <c r="C4">
        <v>1023434.76</v>
      </c>
      <c r="D4">
        <v>7.74</v>
      </c>
      <c r="E4">
        <v>3</v>
      </c>
    </row>
    <row r="5" spans="1:5" x14ac:dyDescent="0.35">
      <c r="A5" t="s">
        <v>18</v>
      </c>
      <c r="B5">
        <v>7530</v>
      </c>
      <c r="C5">
        <v>954852.55</v>
      </c>
      <c r="D5">
        <v>7.22</v>
      </c>
      <c r="E5">
        <v>4</v>
      </c>
    </row>
    <row r="6" spans="1:5" x14ac:dyDescent="0.35">
      <c r="A6" t="s">
        <v>19</v>
      </c>
      <c r="B6">
        <v>6530</v>
      </c>
      <c r="C6">
        <v>888724.61</v>
      </c>
      <c r="D6">
        <v>6.72</v>
      </c>
      <c r="E6">
        <v>5</v>
      </c>
    </row>
    <row r="7" spans="1:5" x14ac:dyDescent="0.35">
      <c r="A7" t="s">
        <v>20</v>
      </c>
      <c r="B7">
        <v>6307</v>
      </c>
      <c r="C7">
        <v>711927.69</v>
      </c>
      <c r="D7">
        <v>5.38</v>
      </c>
      <c r="E7">
        <v>6</v>
      </c>
    </row>
    <row r="8" spans="1:5" x14ac:dyDescent="0.35">
      <c r="A8" t="s">
        <v>21</v>
      </c>
      <c r="B8">
        <v>5743</v>
      </c>
      <c r="C8">
        <v>615628.68999999994</v>
      </c>
      <c r="D8">
        <v>4.66</v>
      </c>
      <c r="E8">
        <v>7</v>
      </c>
    </row>
    <row r="9" spans="1:5" x14ac:dyDescent="0.35">
      <c r="A9" t="s">
        <v>22</v>
      </c>
      <c r="B9">
        <v>3559</v>
      </c>
      <c r="C9">
        <v>610204.1</v>
      </c>
      <c r="D9">
        <v>4.62</v>
      </c>
      <c r="E9">
        <v>8</v>
      </c>
    </row>
    <row r="10" spans="1:5" x14ac:dyDescent="0.35">
      <c r="A10" t="s">
        <v>23</v>
      </c>
      <c r="B10">
        <v>3810</v>
      </c>
      <c r="C10">
        <v>578966.65</v>
      </c>
      <c r="D10">
        <v>4.38</v>
      </c>
      <c r="E10">
        <v>9</v>
      </c>
    </row>
    <row r="11" spans="1:5" x14ac:dyDescent="0.35">
      <c r="A11" t="s">
        <v>24</v>
      </c>
      <c r="B11">
        <v>3804</v>
      </c>
      <c r="C11">
        <v>471286.48</v>
      </c>
      <c r="D11">
        <v>3.56</v>
      </c>
      <c r="E11">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6ABA-5940-489A-97DC-5C46B818FDA7}">
  <dimension ref="A1:E75"/>
  <sheetViews>
    <sheetView workbookViewId="0">
      <selection activeCell="A2" sqref="A2:E75"/>
    </sheetView>
  </sheetViews>
  <sheetFormatPr defaultRowHeight="14.5" x14ac:dyDescent="0.35"/>
  <cols>
    <col min="1" max="1" width="24.54296875" bestFit="1" customWidth="1"/>
    <col min="2" max="2" width="8.54296875" bestFit="1" customWidth="1"/>
    <col min="3" max="3" width="10.81640625" bestFit="1" customWidth="1"/>
    <col min="4" max="4" width="19.36328125" bestFit="1" customWidth="1"/>
    <col min="5" max="5" width="14.7265625" bestFit="1" customWidth="1"/>
  </cols>
  <sheetData>
    <row r="1" spans="1:5" x14ac:dyDescent="0.35">
      <c r="A1" t="s">
        <v>11</v>
      </c>
      <c r="B1" t="s">
        <v>12</v>
      </c>
      <c r="C1" t="s">
        <v>8</v>
      </c>
      <c r="D1" t="s">
        <v>13</v>
      </c>
      <c r="E1" t="s">
        <v>14</v>
      </c>
    </row>
    <row r="2" spans="1:5" x14ac:dyDescent="0.35">
      <c r="A2" t="s">
        <v>15</v>
      </c>
      <c r="B2">
        <v>8647</v>
      </c>
      <c r="C2">
        <v>1233131.72</v>
      </c>
      <c r="D2">
        <v>9.33</v>
      </c>
      <c r="E2">
        <v>1</v>
      </c>
    </row>
    <row r="3" spans="1:5" x14ac:dyDescent="0.35">
      <c r="A3" t="s">
        <v>16</v>
      </c>
      <c r="B3">
        <v>5495</v>
      </c>
      <c r="C3">
        <v>1166176.98</v>
      </c>
      <c r="D3">
        <v>8.82</v>
      </c>
      <c r="E3">
        <v>2</v>
      </c>
    </row>
    <row r="4" spans="1:5" x14ac:dyDescent="0.35">
      <c r="A4" t="s">
        <v>17</v>
      </c>
      <c r="B4">
        <v>9272</v>
      </c>
      <c r="C4">
        <v>1023434.76</v>
      </c>
      <c r="D4">
        <v>7.74</v>
      </c>
      <c r="E4">
        <v>3</v>
      </c>
    </row>
    <row r="5" spans="1:5" x14ac:dyDescent="0.35">
      <c r="A5" t="s">
        <v>18</v>
      </c>
      <c r="B5">
        <v>7530</v>
      </c>
      <c r="C5">
        <v>954852.55</v>
      </c>
      <c r="D5">
        <v>7.22</v>
      </c>
      <c r="E5">
        <v>4</v>
      </c>
    </row>
    <row r="6" spans="1:5" x14ac:dyDescent="0.35">
      <c r="A6" t="s">
        <v>19</v>
      </c>
      <c r="B6">
        <v>6530</v>
      </c>
      <c r="C6">
        <v>888724.61</v>
      </c>
      <c r="D6">
        <v>6.72</v>
      </c>
      <c r="E6">
        <v>5</v>
      </c>
    </row>
    <row r="7" spans="1:5" x14ac:dyDescent="0.35">
      <c r="A7" t="s">
        <v>20</v>
      </c>
      <c r="B7">
        <v>6307</v>
      </c>
      <c r="C7">
        <v>711927.69</v>
      </c>
      <c r="D7">
        <v>5.38</v>
      </c>
      <c r="E7">
        <v>6</v>
      </c>
    </row>
    <row r="8" spans="1:5" x14ac:dyDescent="0.35">
      <c r="A8" t="s">
        <v>21</v>
      </c>
      <c r="B8">
        <v>5743</v>
      </c>
      <c r="C8">
        <v>615628.68999999994</v>
      </c>
      <c r="D8">
        <v>4.66</v>
      </c>
      <c r="E8">
        <v>7</v>
      </c>
    </row>
    <row r="9" spans="1:5" x14ac:dyDescent="0.35">
      <c r="A9" t="s">
        <v>22</v>
      </c>
      <c r="B9">
        <v>3559</v>
      </c>
      <c r="C9">
        <v>610204.1</v>
      </c>
      <c r="D9">
        <v>4.62</v>
      </c>
      <c r="E9">
        <v>8</v>
      </c>
    </row>
    <row r="10" spans="1:5" x14ac:dyDescent="0.35">
      <c r="A10" t="s">
        <v>23</v>
      </c>
      <c r="B10">
        <v>3810</v>
      </c>
      <c r="C10">
        <v>578966.65</v>
      </c>
      <c r="D10">
        <v>4.38</v>
      </c>
      <c r="E10">
        <v>9</v>
      </c>
    </row>
    <row r="11" spans="1:5" x14ac:dyDescent="0.35">
      <c r="A11" t="s">
        <v>24</v>
      </c>
      <c r="B11">
        <v>3804</v>
      </c>
      <c r="C11">
        <v>471286.48</v>
      </c>
      <c r="D11">
        <v>3.56</v>
      </c>
      <c r="E11">
        <v>10</v>
      </c>
    </row>
    <row r="12" spans="1:5" x14ac:dyDescent="0.35">
      <c r="A12" t="s">
        <v>25</v>
      </c>
      <c r="B12">
        <v>3448</v>
      </c>
      <c r="C12">
        <v>470495.28</v>
      </c>
      <c r="D12">
        <v>3.56</v>
      </c>
      <c r="E12">
        <v>11</v>
      </c>
    </row>
    <row r="13" spans="1:5" x14ac:dyDescent="0.35">
      <c r="A13" t="s">
        <v>26</v>
      </c>
      <c r="B13">
        <v>2809</v>
      </c>
      <c r="C13">
        <v>400421.84</v>
      </c>
      <c r="D13">
        <v>3.03</v>
      </c>
      <c r="E13">
        <v>12</v>
      </c>
    </row>
    <row r="14" spans="1:5" x14ac:dyDescent="0.35">
      <c r="A14" t="s">
        <v>27</v>
      </c>
      <c r="B14">
        <v>3086</v>
      </c>
      <c r="C14">
        <v>390144.65</v>
      </c>
      <c r="D14">
        <v>2.95</v>
      </c>
      <c r="E14">
        <v>13</v>
      </c>
    </row>
    <row r="15" spans="1:5" x14ac:dyDescent="0.35">
      <c r="A15" t="s">
        <v>28</v>
      </c>
      <c r="B15">
        <v>4093</v>
      </c>
      <c r="C15">
        <v>309860.23</v>
      </c>
      <c r="D15">
        <v>2.34</v>
      </c>
      <c r="E15">
        <v>14</v>
      </c>
    </row>
    <row r="16" spans="1:5" x14ac:dyDescent="0.35">
      <c r="A16" t="s">
        <v>29</v>
      </c>
      <c r="B16">
        <v>1254</v>
      </c>
      <c r="C16">
        <v>268154.31</v>
      </c>
      <c r="D16">
        <v>2.0299999999999998</v>
      </c>
      <c r="E16">
        <v>15</v>
      </c>
    </row>
    <row r="17" spans="1:5" x14ac:dyDescent="0.35">
      <c r="A17" t="s">
        <v>30</v>
      </c>
      <c r="B17">
        <v>2264</v>
      </c>
      <c r="C17">
        <v>223788.69</v>
      </c>
      <c r="D17">
        <v>1.69</v>
      </c>
      <c r="E17">
        <v>16</v>
      </c>
    </row>
    <row r="18" spans="1:5" x14ac:dyDescent="0.35">
      <c r="A18" t="s">
        <v>31</v>
      </c>
      <c r="B18">
        <v>177</v>
      </c>
      <c r="C18">
        <v>218684.14</v>
      </c>
      <c r="D18">
        <v>1.65</v>
      </c>
      <c r="E18">
        <v>17</v>
      </c>
    </row>
    <row r="19" spans="1:5" x14ac:dyDescent="0.35">
      <c r="A19" t="s">
        <v>32</v>
      </c>
      <c r="B19">
        <v>1688</v>
      </c>
      <c r="C19">
        <v>211695.64</v>
      </c>
      <c r="D19">
        <v>1.6</v>
      </c>
      <c r="E19">
        <v>18</v>
      </c>
    </row>
    <row r="20" spans="1:5" x14ac:dyDescent="0.35">
      <c r="A20" t="s">
        <v>33</v>
      </c>
      <c r="B20">
        <v>611</v>
      </c>
      <c r="C20">
        <v>184315.74</v>
      </c>
      <c r="D20">
        <v>1.39</v>
      </c>
      <c r="E20">
        <v>19</v>
      </c>
    </row>
    <row r="21" spans="1:5" x14ac:dyDescent="0.35">
      <c r="A21" t="s">
        <v>34</v>
      </c>
      <c r="B21">
        <v>609</v>
      </c>
      <c r="C21">
        <v>182754.12</v>
      </c>
      <c r="D21">
        <v>1.38</v>
      </c>
      <c r="E21">
        <v>20</v>
      </c>
    </row>
    <row r="22" spans="1:5" x14ac:dyDescent="0.35">
      <c r="A22" t="s">
        <v>35</v>
      </c>
      <c r="B22">
        <v>1392</v>
      </c>
      <c r="C22">
        <v>170726.63</v>
      </c>
      <c r="D22">
        <v>1.29</v>
      </c>
      <c r="E22">
        <v>21</v>
      </c>
    </row>
    <row r="23" spans="1:5" x14ac:dyDescent="0.35">
      <c r="A23" t="s">
        <v>36</v>
      </c>
      <c r="B23">
        <v>2517</v>
      </c>
      <c r="C23">
        <v>155043.93</v>
      </c>
      <c r="D23">
        <v>1.17</v>
      </c>
      <c r="E23">
        <v>22</v>
      </c>
    </row>
    <row r="24" spans="1:5" x14ac:dyDescent="0.35">
      <c r="A24" t="s">
        <v>37</v>
      </c>
      <c r="B24">
        <v>1820</v>
      </c>
      <c r="C24">
        <v>149329.39000000001</v>
      </c>
      <c r="D24">
        <v>1.1299999999999999</v>
      </c>
      <c r="E24">
        <v>23</v>
      </c>
    </row>
    <row r="25" spans="1:5" x14ac:dyDescent="0.35">
      <c r="A25" t="s">
        <v>38</v>
      </c>
      <c r="B25">
        <v>1018</v>
      </c>
      <c r="C25">
        <v>148003.37</v>
      </c>
      <c r="D25">
        <v>1.1200000000000001</v>
      </c>
      <c r="E25">
        <v>24</v>
      </c>
    </row>
    <row r="26" spans="1:5" x14ac:dyDescent="0.35">
      <c r="A26" t="s">
        <v>39</v>
      </c>
      <c r="B26">
        <v>736</v>
      </c>
      <c r="C26">
        <v>142108.49</v>
      </c>
      <c r="D26">
        <v>1.07</v>
      </c>
      <c r="E26">
        <v>25</v>
      </c>
    </row>
    <row r="27" spans="1:5" x14ac:dyDescent="0.35">
      <c r="A27" t="s">
        <v>40</v>
      </c>
      <c r="B27">
        <v>1019</v>
      </c>
      <c r="C27">
        <v>138701.63</v>
      </c>
      <c r="D27">
        <v>1.05</v>
      </c>
      <c r="E27">
        <v>26</v>
      </c>
    </row>
    <row r="28" spans="1:5" x14ac:dyDescent="0.35">
      <c r="A28" t="s">
        <v>41</v>
      </c>
      <c r="B28">
        <v>227</v>
      </c>
      <c r="C28">
        <v>107953.95</v>
      </c>
      <c r="D28">
        <v>0.82</v>
      </c>
      <c r="E28">
        <v>27</v>
      </c>
    </row>
    <row r="29" spans="1:5" x14ac:dyDescent="0.35">
      <c r="A29" t="s">
        <v>42</v>
      </c>
      <c r="B29">
        <v>483</v>
      </c>
      <c r="C29">
        <v>81407.570000000007</v>
      </c>
      <c r="D29">
        <v>0.62</v>
      </c>
      <c r="E29">
        <v>28</v>
      </c>
    </row>
    <row r="30" spans="1:5" x14ac:dyDescent="0.35">
      <c r="A30" t="s">
        <v>43</v>
      </c>
      <c r="B30">
        <v>747</v>
      </c>
      <c r="C30">
        <v>78832.479999999996</v>
      </c>
      <c r="D30">
        <v>0.6</v>
      </c>
      <c r="E30">
        <v>29</v>
      </c>
    </row>
    <row r="31" spans="1:5" x14ac:dyDescent="0.35">
      <c r="A31" t="s">
        <v>44</v>
      </c>
      <c r="B31">
        <v>177</v>
      </c>
      <c r="C31">
        <v>70566.100000000006</v>
      </c>
      <c r="D31">
        <v>0.53</v>
      </c>
      <c r="E31">
        <v>30</v>
      </c>
    </row>
    <row r="32" spans="1:5" x14ac:dyDescent="0.35">
      <c r="A32" t="s">
        <v>45</v>
      </c>
      <c r="B32">
        <v>414</v>
      </c>
      <c r="C32">
        <v>67350.7</v>
      </c>
      <c r="D32">
        <v>0.51</v>
      </c>
      <c r="E32">
        <v>31</v>
      </c>
    </row>
    <row r="33" spans="1:5" x14ac:dyDescent="0.35">
      <c r="A33" t="s">
        <v>46</v>
      </c>
      <c r="B33">
        <v>392</v>
      </c>
      <c r="C33">
        <v>58008.45</v>
      </c>
      <c r="D33">
        <v>0.44</v>
      </c>
      <c r="E33">
        <v>32</v>
      </c>
    </row>
    <row r="34" spans="1:5" x14ac:dyDescent="0.35">
      <c r="A34" t="s">
        <v>47</v>
      </c>
      <c r="B34">
        <v>212</v>
      </c>
      <c r="C34">
        <v>55315.21</v>
      </c>
      <c r="D34">
        <v>0.42</v>
      </c>
      <c r="E34">
        <v>33</v>
      </c>
    </row>
    <row r="35" spans="1:5" x14ac:dyDescent="0.35">
      <c r="A35" t="s">
        <v>48</v>
      </c>
      <c r="B35">
        <v>246</v>
      </c>
      <c r="C35">
        <v>53323.56</v>
      </c>
      <c r="D35">
        <v>0.4</v>
      </c>
      <c r="E35">
        <v>34</v>
      </c>
    </row>
    <row r="36" spans="1:5" x14ac:dyDescent="0.35">
      <c r="A36" t="s">
        <v>49</v>
      </c>
      <c r="B36">
        <v>348</v>
      </c>
      <c r="C36">
        <v>50570.6</v>
      </c>
      <c r="D36">
        <v>0.38</v>
      </c>
      <c r="E36">
        <v>35</v>
      </c>
    </row>
    <row r="37" spans="1:5" x14ac:dyDescent="0.35">
      <c r="A37" t="s">
        <v>50</v>
      </c>
      <c r="B37">
        <v>72</v>
      </c>
      <c r="C37">
        <v>46589.56</v>
      </c>
      <c r="D37">
        <v>0.35</v>
      </c>
      <c r="E37">
        <v>36</v>
      </c>
    </row>
    <row r="38" spans="1:5" x14ac:dyDescent="0.35">
      <c r="A38" t="s">
        <v>51</v>
      </c>
      <c r="B38">
        <v>241</v>
      </c>
      <c r="C38">
        <v>45531.98</v>
      </c>
      <c r="D38">
        <v>0.34</v>
      </c>
      <c r="E38">
        <v>37</v>
      </c>
    </row>
    <row r="39" spans="1:5" x14ac:dyDescent="0.35">
      <c r="A39" t="s">
        <v>52</v>
      </c>
      <c r="B39">
        <v>496</v>
      </c>
      <c r="C39">
        <v>45302.15</v>
      </c>
      <c r="D39">
        <v>0.34</v>
      </c>
      <c r="E39">
        <v>38</v>
      </c>
    </row>
    <row r="40" spans="1:5" x14ac:dyDescent="0.35">
      <c r="A40" t="s">
        <v>53</v>
      </c>
      <c r="B40">
        <v>242</v>
      </c>
      <c r="C40">
        <v>39957</v>
      </c>
      <c r="D40">
        <v>0.3</v>
      </c>
      <c r="E40">
        <v>39</v>
      </c>
    </row>
    <row r="41" spans="1:5" x14ac:dyDescent="0.35">
      <c r="A41" t="s">
        <v>54</v>
      </c>
      <c r="B41">
        <v>159</v>
      </c>
      <c r="C41">
        <v>38773.22</v>
      </c>
      <c r="D41">
        <v>0.28999999999999998</v>
      </c>
      <c r="E41">
        <v>40</v>
      </c>
    </row>
    <row r="42" spans="1:5" x14ac:dyDescent="0.35">
      <c r="A42" t="s">
        <v>55</v>
      </c>
      <c r="B42">
        <v>232</v>
      </c>
      <c r="C42">
        <v>38498.81</v>
      </c>
      <c r="D42">
        <v>0.28999999999999998</v>
      </c>
      <c r="E42">
        <v>41</v>
      </c>
    </row>
    <row r="43" spans="1:5" x14ac:dyDescent="0.35">
      <c r="A43" t="s">
        <v>56</v>
      </c>
      <c r="B43">
        <v>441</v>
      </c>
      <c r="C43">
        <v>28731.15</v>
      </c>
      <c r="D43">
        <v>0.22</v>
      </c>
      <c r="E43">
        <v>42</v>
      </c>
    </row>
    <row r="44" spans="1:5" x14ac:dyDescent="0.35">
      <c r="A44" t="s">
        <v>57</v>
      </c>
      <c r="B44">
        <v>274</v>
      </c>
      <c r="C44">
        <v>27795.77</v>
      </c>
      <c r="D44">
        <v>0.21</v>
      </c>
      <c r="E44">
        <v>43</v>
      </c>
    </row>
    <row r="45" spans="1:5" x14ac:dyDescent="0.35">
      <c r="A45" t="s">
        <v>58</v>
      </c>
      <c r="B45">
        <v>190</v>
      </c>
      <c r="C45">
        <v>25096.28</v>
      </c>
      <c r="D45">
        <v>0.19</v>
      </c>
      <c r="E45">
        <v>44</v>
      </c>
    </row>
    <row r="46" spans="1:5" x14ac:dyDescent="0.35">
      <c r="A46" t="s">
        <v>59</v>
      </c>
      <c r="B46">
        <v>195</v>
      </c>
      <c r="C46">
        <v>23657.3</v>
      </c>
      <c r="D46">
        <v>0.18</v>
      </c>
      <c r="E46">
        <v>45</v>
      </c>
    </row>
    <row r="47" spans="1:5" x14ac:dyDescent="0.35">
      <c r="A47" t="s">
        <v>60</v>
      </c>
      <c r="B47">
        <v>235</v>
      </c>
      <c r="C47">
        <v>23001.46</v>
      </c>
      <c r="D47">
        <v>0.17</v>
      </c>
      <c r="E47">
        <v>46</v>
      </c>
    </row>
    <row r="48" spans="1:5" x14ac:dyDescent="0.35">
      <c r="A48" t="s">
        <v>61</v>
      </c>
      <c r="B48">
        <v>287</v>
      </c>
      <c r="C48">
        <v>21529.84</v>
      </c>
      <c r="D48">
        <v>0.16</v>
      </c>
      <c r="E48">
        <v>47</v>
      </c>
    </row>
    <row r="49" spans="1:5" x14ac:dyDescent="0.35">
      <c r="A49" t="s">
        <v>62</v>
      </c>
      <c r="B49">
        <v>138</v>
      </c>
      <c r="C49">
        <v>21315.05</v>
      </c>
      <c r="D49">
        <v>0.16</v>
      </c>
      <c r="E49">
        <v>48</v>
      </c>
    </row>
    <row r="50" spans="1:5" x14ac:dyDescent="0.35">
      <c r="A50" t="s">
        <v>63</v>
      </c>
      <c r="B50">
        <v>90</v>
      </c>
      <c r="C50">
        <v>19051.8</v>
      </c>
      <c r="D50">
        <v>0.14000000000000001</v>
      </c>
      <c r="E50">
        <v>49</v>
      </c>
    </row>
    <row r="51" spans="1:5" x14ac:dyDescent="0.35">
      <c r="A51" t="s">
        <v>64</v>
      </c>
      <c r="B51">
        <v>256</v>
      </c>
      <c r="C51">
        <v>18702.23</v>
      </c>
      <c r="D51">
        <v>0.14000000000000001</v>
      </c>
      <c r="E51">
        <v>50</v>
      </c>
    </row>
    <row r="52" spans="1:5" x14ac:dyDescent="0.35">
      <c r="A52" t="s">
        <v>65</v>
      </c>
      <c r="B52">
        <v>97</v>
      </c>
      <c r="C52">
        <v>15903.95</v>
      </c>
      <c r="D52">
        <v>0.12</v>
      </c>
      <c r="E52">
        <v>51</v>
      </c>
    </row>
    <row r="53" spans="1:5" x14ac:dyDescent="0.35">
      <c r="A53" t="s">
        <v>66</v>
      </c>
      <c r="B53">
        <v>221</v>
      </c>
      <c r="C53">
        <v>14942.88</v>
      </c>
      <c r="D53">
        <v>0.11</v>
      </c>
      <c r="E53">
        <v>52</v>
      </c>
    </row>
    <row r="54" spans="1:5" x14ac:dyDescent="0.35">
      <c r="A54" t="s">
        <v>67</v>
      </c>
      <c r="B54">
        <v>106</v>
      </c>
      <c r="C54">
        <v>10452.33</v>
      </c>
      <c r="D54">
        <v>0.08</v>
      </c>
      <c r="E54">
        <v>53</v>
      </c>
    </row>
    <row r="55" spans="1:5" x14ac:dyDescent="0.35">
      <c r="A55" t="s">
        <v>68</v>
      </c>
      <c r="B55">
        <v>117</v>
      </c>
      <c r="C55">
        <v>9305.9500000000007</v>
      </c>
      <c r="D55">
        <v>7.0000000000000007E-2</v>
      </c>
      <c r="E55">
        <v>54</v>
      </c>
    </row>
    <row r="56" spans="1:5" x14ac:dyDescent="0.35">
      <c r="A56" t="s">
        <v>69</v>
      </c>
      <c r="B56">
        <v>125</v>
      </c>
      <c r="C56">
        <v>8737.84</v>
      </c>
      <c r="D56">
        <v>7.0000000000000007E-2</v>
      </c>
      <c r="E56">
        <v>55</v>
      </c>
    </row>
    <row r="57" spans="1:5" x14ac:dyDescent="0.35">
      <c r="A57" t="s">
        <v>70</v>
      </c>
      <c r="B57">
        <v>79</v>
      </c>
      <c r="C57">
        <v>7528.41</v>
      </c>
      <c r="D57">
        <v>0.06</v>
      </c>
      <c r="E57">
        <v>56</v>
      </c>
    </row>
    <row r="58" spans="1:5" x14ac:dyDescent="0.35">
      <c r="A58" t="s">
        <v>71</v>
      </c>
      <c r="B58">
        <v>63</v>
      </c>
      <c r="C58">
        <v>6674.47</v>
      </c>
      <c r="D58">
        <v>0.05</v>
      </c>
      <c r="E58">
        <v>57</v>
      </c>
    </row>
    <row r="59" spans="1:5" x14ac:dyDescent="0.35">
      <c r="A59" t="s">
        <v>72</v>
      </c>
      <c r="B59">
        <v>38</v>
      </c>
      <c r="C59">
        <v>6034.35</v>
      </c>
      <c r="D59">
        <v>0.05</v>
      </c>
      <c r="E59">
        <v>58</v>
      </c>
    </row>
    <row r="60" spans="1:5" x14ac:dyDescent="0.35">
      <c r="A60" t="s">
        <v>73</v>
      </c>
      <c r="B60">
        <v>56</v>
      </c>
      <c r="C60">
        <v>4542.59</v>
      </c>
      <c r="D60">
        <v>0.03</v>
      </c>
      <c r="E60">
        <v>59</v>
      </c>
    </row>
    <row r="61" spans="1:5" x14ac:dyDescent="0.35">
      <c r="A61" t="s">
        <v>74</v>
      </c>
      <c r="B61">
        <v>38</v>
      </c>
      <c r="C61">
        <v>4465.1899999999996</v>
      </c>
      <c r="D61">
        <v>0.03</v>
      </c>
      <c r="E61">
        <v>60</v>
      </c>
    </row>
    <row r="62" spans="1:5" x14ac:dyDescent="0.35">
      <c r="A62" t="s">
        <v>75</v>
      </c>
      <c r="B62">
        <v>50</v>
      </c>
      <c r="C62">
        <v>4418.8599999999997</v>
      </c>
      <c r="D62">
        <v>0.03</v>
      </c>
      <c r="E62">
        <v>61</v>
      </c>
    </row>
    <row r="63" spans="1:5" x14ac:dyDescent="0.35">
      <c r="A63" t="s">
        <v>76</v>
      </c>
      <c r="B63">
        <v>37</v>
      </c>
      <c r="C63">
        <v>4323.38</v>
      </c>
      <c r="D63">
        <v>0.03</v>
      </c>
      <c r="E63">
        <v>62</v>
      </c>
    </row>
    <row r="64" spans="1:5" x14ac:dyDescent="0.35">
      <c r="A64" t="s">
        <v>77</v>
      </c>
      <c r="B64">
        <v>13</v>
      </c>
      <c r="C64">
        <v>3933.63</v>
      </c>
      <c r="D64">
        <v>0.03</v>
      </c>
      <c r="E64">
        <v>63</v>
      </c>
    </row>
    <row r="65" spans="1:5" x14ac:dyDescent="0.35">
      <c r="A65" t="s">
        <v>78</v>
      </c>
      <c r="B65">
        <v>36</v>
      </c>
      <c r="C65">
        <v>2634.94</v>
      </c>
      <c r="D65">
        <v>0.02</v>
      </c>
      <c r="E65">
        <v>64</v>
      </c>
    </row>
    <row r="66" spans="1:5" x14ac:dyDescent="0.35">
      <c r="A66" t="s">
        <v>79</v>
      </c>
      <c r="B66">
        <v>26</v>
      </c>
      <c r="C66">
        <v>2094.52</v>
      </c>
      <c r="D66">
        <v>0.02</v>
      </c>
      <c r="E66">
        <v>65</v>
      </c>
    </row>
    <row r="67" spans="1:5" x14ac:dyDescent="0.35">
      <c r="A67" t="s">
        <v>80</v>
      </c>
      <c r="B67">
        <v>13</v>
      </c>
      <c r="C67">
        <v>2054.9899999999998</v>
      </c>
      <c r="D67">
        <v>0.02</v>
      </c>
      <c r="E67">
        <v>66</v>
      </c>
    </row>
    <row r="68" spans="1:5" x14ac:dyDescent="0.35">
      <c r="A68" t="s">
        <v>81</v>
      </c>
      <c r="B68">
        <v>23</v>
      </c>
      <c r="C68">
        <v>1814.01</v>
      </c>
      <c r="D68">
        <v>0.01</v>
      </c>
      <c r="E68">
        <v>67</v>
      </c>
    </row>
    <row r="69" spans="1:5" x14ac:dyDescent="0.35">
      <c r="A69" t="s">
        <v>82</v>
      </c>
      <c r="B69">
        <v>25</v>
      </c>
      <c r="C69">
        <v>1500.79</v>
      </c>
      <c r="D69">
        <v>0.01</v>
      </c>
      <c r="E69">
        <v>68</v>
      </c>
    </row>
    <row r="70" spans="1:5" x14ac:dyDescent="0.35">
      <c r="A70" t="s">
        <v>83</v>
      </c>
      <c r="B70">
        <v>7</v>
      </c>
      <c r="C70">
        <v>1306.95</v>
      </c>
      <c r="D70">
        <v>0.01</v>
      </c>
      <c r="E70">
        <v>69</v>
      </c>
    </row>
    <row r="71" spans="1:5" x14ac:dyDescent="0.35">
      <c r="A71" t="s">
        <v>84</v>
      </c>
      <c r="B71">
        <v>29</v>
      </c>
      <c r="C71">
        <v>1110.04</v>
      </c>
      <c r="D71">
        <v>0.01</v>
      </c>
      <c r="E71">
        <v>70</v>
      </c>
    </row>
    <row r="72" spans="1:5" x14ac:dyDescent="0.35">
      <c r="A72" t="s">
        <v>85</v>
      </c>
      <c r="B72">
        <v>24</v>
      </c>
      <c r="C72">
        <v>760.27</v>
      </c>
      <c r="D72">
        <v>0.01</v>
      </c>
      <c r="E72">
        <v>71</v>
      </c>
    </row>
    <row r="73" spans="1:5" x14ac:dyDescent="0.35">
      <c r="A73" t="s">
        <v>86</v>
      </c>
      <c r="B73">
        <v>12</v>
      </c>
      <c r="C73">
        <v>730</v>
      </c>
      <c r="D73">
        <v>0.01</v>
      </c>
      <c r="E73">
        <v>72</v>
      </c>
    </row>
    <row r="74" spans="1:5" x14ac:dyDescent="0.35">
      <c r="A74" t="s">
        <v>87</v>
      </c>
      <c r="B74">
        <v>7</v>
      </c>
      <c r="C74">
        <v>519.95000000000005</v>
      </c>
      <c r="D74">
        <v>0</v>
      </c>
      <c r="E74">
        <v>73</v>
      </c>
    </row>
    <row r="75" spans="1:5" x14ac:dyDescent="0.35">
      <c r="A75" t="s">
        <v>88</v>
      </c>
      <c r="B75">
        <v>2</v>
      </c>
      <c r="C75">
        <v>283.29000000000002</v>
      </c>
      <c r="D75">
        <v>0</v>
      </c>
      <c r="E75">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BE931-C7A1-47A9-9F4D-6C847886FA7D}">
  <dimension ref="A1:E3"/>
  <sheetViews>
    <sheetView workbookViewId="0">
      <selection activeCell="G17" sqref="G17"/>
    </sheetView>
  </sheetViews>
  <sheetFormatPr defaultRowHeight="14.5" x14ac:dyDescent="0.35"/>
  <cols>
    <col min="1" max="1" width="15.81640625" bestFit="1" customWidth="1"/>
    <col min="2" max="3" width="11.81640625" bestFit="1" customWidth="1"/>
    <col min="4" max="4" width="19.36328125" bestFit="1" customWidth="1"/>
  </cols>
  <sheetData>
    <row r="1" spans="1:5" x14ac:dyDescent="0.35">
      <c r="A1" t="s">
        <v>89</v>
      </c>
      <c r="B1" t="s">
        <v>90</v>
      </c>
      <c r="C1" t="s">
        <v>8</v>
      </c>
      <c r="D1" t="s">
        <v>13</v>
      </c>
      <c r="E1" t="s">
        <v>93</v>
      </c>
    </row>
    <row r="2" spans="1:5" x14ac:dyDescent="0.35">
      <c r="A2" t="s">
        <v>91</v>
      </c>
      <c r="B2">
        <v>90557</v>
      </c>
      <c r="C2">
        <v>12493089.359999999</v>
      </c>
      <c r="D2">
        <v>94.49</v>
      </c>
      <c r="E2" s="3">
        <f>CustomerType[[#This Row],[customers]]/SUM(CustomerType[customers])</f>
        <v>0.9699972150217443</v>
      </c>
    </row>
    <row r="3" spans="1:5" x14ac:dyDescent="0.35">
      <c r="A3" t="s">
        <v>92</v>
      </c>
      <c r="B3">
        <v>2801</v>
      </c>
      <c r="C3">
        <v>728408.75</v>
      </c>
      <c r="D3">
        <v>5.51</v>
      </c>
      <c r="E3" s="3">
        <f>CustomerType[[#This Row],[customers]]/SUM(CustomerType[customers])</f>
        <v>3.0002784978255748E-2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D542-4C3D-42B9-9DB1-397274A05B9A}">
  <dimension ref="A1:H15"/>
  <sheetViews>
    <sheetView workbookViewId="0">
      <selection activeCell="A2" sqref="A2:A15"/>
    </sheetView>
  </sheetViews>
  <sheetFormatPr defaultRowHeight="14.5" x14ac:dyDescent="0.35"/>
  <cols>
    <col min="1" max="1" width="15.1796875" bestFit="1" customWidth="1"/>
    <col min="2" max="8" width="5.81640625" bestFit="1" customWidth="1"/>
  </cols>
  <sheetData>
    <row r="1" spans="1:8" x14ac:dyDescent="0.35">
      <c r="A1" t="s">
        <v>94</v>
      </c>
      <c r="B1" t="s">
        <v>95</v>
      </c>
      <c r="C1" t="s">
        <v>96</v>
      </c>
      <c r="D1" t="s">
        <v>97</v>
      </c>
      <c r="E1" t="s">
        <v>98</v>
      </c>
      <c r="F1" t="s">
        <v>99</v>
      </c>
      <c r="G1" t="s">
        <v>100</v>
      </c>
      <c r="H1" t="s">
        <v>101</v>
      </c>
    </row>
    <row r="2" spans="1:8" x14ac:dyDescent="0.35">
      <c r="A2" s="8">
        <v>42736</v>
      </c>
      <c r="B2">
        <v>717</v>
      </c>
      <c r="C2">
        <v>2</v>
      </c>
      <c r="D2">
        <v>2</v>
      </c>
      <c r="E2">
        <v>1</v>
      </c>
      <c r="F2">
        <v>3</v>
      </c>
      <c r="G2">
        <v>1</v>
      </c>
      <c r="H2">
        <v>3</v>
      </c>
    </row>
    <row r="3" spans="1:8" x14ac:dyDescent="0.35">
      <c r="A3" s="8">
        <v>42767</v>
      </c>
      <c r="B3">
        <v>1628</v>
      </c>
      <c r="C3">
        <v>3</v>
      </c>
      <c r="D3">
        <v>5</v>
      </c>
      <c r="E3">
        <v>2</v>
      </c>
      <c r="F3">
        <v>7</v>
      </c>
      <c r="G3">
        <v>2</v>
      </c>
      <c r="H3">
        <v>4</v>
      </c>
    </row>
    <row r="4" spans="1:8" x14ac:dyDescent="0.35">
      <c r="A4" s="8">
        <v>42795</v>
      </c>
      <c r="B4">
        <v>2503</v>
      </c>
      <c r="C4">
        <v>11</v>
      </c>
      <c r="D4">
        <v>9</v>
      </c>
      <c r="E4">
        <v>10</v>
      </c>
      <c r="F4">
        <v>9</v>
      </c>
      <c r="G4">
        <v>4</v>
      </c>
      <c r="H4">
        <v>4</v>
      </c>
    </row>
    <row r="5" spans="1:8" x14ac:dyDescent="0.35">
      <c r="A5" s="8">
        <v>42826</v>
      </c>
      <c r="B5">
        <v>2256</v>
      </c>
      <c r="C5">
        <v>14</v>
      </c>
      <c r="D5">
        <v>5</v>
      </c>
      <c r="E5">
        <v>4</v>
      </c>
      <c r="F5">
        <v>6</v>
      </c>
      <c r="G5">
        <v>6</v>
      </c>
      <c r="H5">
        <v>8</v>
      </c>
    </row>
    <row r="6" spans="1:8" x14ac:dyDescent="0.35">
      <c r="A6" s="8">
        <v>42856</v>
      </c>
      <c r="B6">
        <v>3451</v>
      </c>
      <c r="C6">
        <v>16</v>
      </c>
      <c r="D6">
        <v>16</v>
      </c>
      <c r="E6">
        <v>10</v>
      </c>
      <c r="F6">
        <v>10</v>
      </c>
      <c r="G6">
        <v>11</v>
      </c>
      <c r="H6">
        <v>14</v>
      </c>
    </row>
    <row r="7" spans="1:8" x14ac:dyDescent="0.35">
      <c r="A7" s="8">
        <v>42887</v>
      </c>
      <c r="B7">
        <v>3037</v>
      </c>
      <c r="C7">
        <v>15</v>
      </c>
      <c r="D7">
        <v>12</v>
      </c>
      <c r="E7">
        <v>13</v>
      </c>
      <c r="F7">
        <v>9</v>
      </c>
      <c r="G7">
        <v>12</v>
      </c>
      <c r="H7">
        <v>11</v>
      </c>
    </row>
    <row r="8" spans="1:8" x14ac:dyDescent="0.35">
      <c r="A8" s="8">
        <v>42917</v>
      </c>
      <c r="B8">
        <v>3752</v>
      </c>
      <c r="C8">
        <v>20</v>
      </c>
      <c r="D8">
        <v>13</v>
      </c>
      <c r="E8">
        <v>9</v>
      </c>
      <c r="F8">
        <v>11</v>
      </c>
      <c r="G8">
        <v>8</v>
      </c>
      <c r="H8">
        <v>12</v>
      </c>
    </row>
    <row r="9" spans="1:8" x14ac:dyDescent="0.35">
      <c r="A9" s="8">
        <v>42948</v>
      </c>
      <c r="B9">
        <v>4057</v>
      </c>
      <c r="C9">
        <v>28</v>
      </c>
      <c r="D9">
        <v>14</v>
      </c>
      <c r="E9">
        <v>11</v>
      </c>
      <c r="F9">
        <v>14</v>
      </c>
      <c r="G9">
        <v>21</v>
      </c>
      <c r="H9">
        <v>12</v>
      </c>
    </row>
    <row r="10" spans="1:8" x14ac:dyDescent="0.35">
      <c r="A10" s="8">
        <v>42979</v>
      </c>
      <c r="B10">
        <v>4004</v>
      </c>
      <c r="C10">
        <v>28</v>
      </c>
      <c r="D10">
        <v>22</v>
      </c>
      <c r="E10">
        <v>11</v>
      </c>
      <c r="F10">
        <v>18</v>
      </c>
      <c r="G10">
        <v>9</v>
      </c>
      <c r="H10">
        <v>9</v>
      </c>
    </row>
    <row r="11" spans="1:8" x14ac:dyDescent="0.35">
      <c r="A11" s="8">
        <v>43009</v>
      </c>
      <c r="B11">
        <v>4328</v>
      </c>
      <c r="C11">
        <v>31</v>
      </c>
      <c r="D11">
        <v>11</v>
      </c>
      <c r="E11">
        <v>4</v>
      </c>
      <c r="F11">
        <v>10</v>
      </c>
      <c r="G11">
        <v>9</v>
      </c>
      <c r="H11">
        <v>9</v>
      </c>
    </row>
    <row r="12" spans="1:8" x14ac:dyDescent="0.35">
      <c r="A12" s="8">
        <v>43040</v>
      </c>
      <c r="B12">
        <v>7060</v>
      </c>
      <c r="C12">
        <v>40</v>
      </c>
      <c r="D12">
        <v>26</v>
      </c>
      <c r="E12">
        <v>12</v>
      </c>
      <c r="F12">
        <v>12</v>
      </c>
      <c r="G12">
        <v>13</v>
      </c>
      <c r="H12">
        <v>8</v>
      </c>
    </row>
    <row r="13" spans="1:8" x14ac:dyDescent="0.35">
      <c r="A13" s="8">
        <v>43070</v>
      </c>
      <c r="B13">
        <v>5338</v>
      </c>
      <c r="C13">
        <v>11</v>
      </c>
      <c r="D13">
        <v>15</v>
      </c>
      <c r="E13">
        <v>18</v>
      </c>
      <c r="F13">
        <v>14</v>
      </c>
      <c r="G13">
        <v>11</v>
      </c>
      <c r="H13">
        <v>9</v>
      </c>
    </row>
    <row r="14" spans="1:8" x14ac:dyDescent="0.35">
      <c r="A14" s="8">
        <v>43101</v>
      </c>
      <c r="B14">
        <v>6842</v>
      </c>
      <c r="C14">
        <v>23</v>
      </c>
      <c r="D14">
        <v>25</v>
      </c>
      <c r="E14">
        <v>20</v>
      </c>
      <c r="F14">
        <v>20</v>
      </c>
      <c r="G14">
        <v>11</v>
      </c>
      <c r="H14">
        <v>12</v>
      </c>
    </row>
    <row r="15" spans="1:8" x14ac:dyDescent="0.35">
      <c r="A15" s="8">
        <v>43132</v>
      </c>
      <c r="B15">
        <v>6288</v>
      </c>
      <c r="C15">
        <v>22</v>
      </c>
      <c r="D15">
        <v>25</v>
      </c>
      <c r="E15">
        <v>19</v>
      </c>
      <c r="F15">
        <v>16</v>
      </c>
      <c r="G15">
        <v>14</v>
      </c>
      <c r="H15">
        <v>13</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CDAA1-83BD-4480-874C-D13A59A39D9B}">
  <dimension ref="A1:D6"/>
  <sheetViews>
    <sheetView topLeftCell="A7" workbookViewId="0">
      <selection activeCell="G20" sqref="G20"/>
    </sheetView>
  </sheetViews>
  <sheetFormatPr defaultRowHeight="14.5" x14ac:dyDescent="0.35"/>
  <cols>
    <col min="1" max="1" width="14.08984375" bestFit="1" customWidth="1"/>
    <col min="2" max="2" width="9.453125" bestFit="1" customWidth="1"/>
    <col min="3" max="3" width="18.36328125" bestFit="1" customWidth="1"/>
    <col min="4" max="4" width="9.90625" bestFit="1" customWidth="1"/>
  </cols>
  <sheetData>
    <row r="1" spans="1:4" x14ac:dyDescent="0.35">
      <c r="A1" t="s">
        <v>102</v>
      </c>
      <c r="B1" t="s">
        <v>103</v>
      </c>
      <c r="C1" t="s">
        <v>6</v>
      </c>
      <c r="D1" t="s">
        <v>104</v>
      </c>
    </row>
    <row r="2" spans="1:4" x14ac:dyDescent="0.35">
      <c r="A2" t="s">
        <v>105</v>
      </c>
      <c r="B2">
        <v>9405</v>
      </c>
      <c r="C2">
        <v>21.3</v>
      </c>
      <c r="D2">
        <v>0.378</v>
      </c>
    </row>
    <row r="3" spans="1:4" x14ac:dyDescent="0.35">
      <c r="A3" t="s">
        <v>106</v>
      </c>
      <c r="B3">
        <v>2941</v>
      </c>
      <c r="C3">
        <v>16.600000000000001</v>
      </c>
      <c r="D3">
        <v>0.20599999999999999</v>
      </c>
    </row>
    <row r="4" spans="1:4" x14ac:dyDescent="0.35">
      <c r="A4" t="s">
        <v>107</v>
      </c>
      <c r="B4">
        <v>7961</v>
      </c>
      <c r="C4">
        <v>14.2</v>
      </c>
      <c r="D4">
        <v>0.11</v>
      </c>
    </row>
    <row r="5" spans="1:4" x14ac:dyDescent="0.35">
      <c r="A5" t="s">
        <v>108</v>
      </c>
      <c r="B5">
        <v>18986</v>
      </c>
      <c r="C5">
        <v>12.3</v>
      </c>
      <c r="D5">
        <v>0.05</v>
      </c>
    </row>
    <row r="6" spans="1:4" x14ac:dyDescent="0.35">
      <c r="A6" t="s">
        <v>109</v>
      </c>
      <c r="B6">
        <v>57059</v>
      </c>
      <c r="C6">
        <v>10.6</v>
      </c>
      <c r="D6">
        <v>0.03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B6C1-CBF1-4C4D-9E6C-235113D1085C}">
  <dimension ref="A1:B14"/>
  <sheetViews>
    <sheetView workbookViewId="0">
      <selection activeCell="E3" sqref="E3:F16"/>
    </sheetView>
  </sheetViews>
  <sheetFormatPr defaultRowHeight="14.5" x14ac:dyDescent="0.35"/>
  <cols>
    <col min="1" max="1" width="12.36328125" bestFit="1" customWidth="1"/>
    <col min="2" max="2" width="14" bestFit="1" customWidth="1"/>
    <col min="5" max="5" width="12.36328125" bestFit="1" customWidth="1"/>
    <col min="6" max="6" width="14" bestFit="1" customWidth="1"/>
  </cols>
  <sheetData>
    <row r="1" spans="1:2" x14ac:dyDescent="0.35">
      <c r="A1" s="9" t="s">
        <v>195</v>
      </c>
      <c r="B1" t="s">
        <v>197</v>
      </c>
    </row>
    <row r="2" spans="1:2" x14ac:dyDescent="0.35">
      <c r="A2" s="10">
        <v>42736</v>
      </c>
      <c r="B2">
        <v>111798.36</v>
      </c>
    </row>
    <row r="3" spans="1:2" x14ac:dyDescent="0.35">
      <c r="A3" s="10">
        <v>42767</v>
      </c>
      <c r="B3">
        <v>234223.4</v>
      </c>
    </row>
    <row r="4" spans="1:2" x14ac:dyDescent="0.35">
      <c r="A4" s="10">
        <v>42795</v>
      </c>
      <c r="B4">
        <v>359198.85</v>
      </c>
    </row>
    <row r="5" spans="1:2" x14ac:dyDescent="0.35">
      <c r="A5" s="10">
        <v>42826</v>
      </c>
      <c r="B5">
        <v>340669.68</v>
      </c>
    </row>
    <row r="6" spans="1:2" x14ac:dyDescent="0.35">
      <c r="A6" s="10">
        <v>42856</v>
      </c>
      <c r="B6">
        <v>489338.25</v>
      </c>
    </row>
    <row r="7" spans="1:2" x14ac:dyDescent="0.35">
      <c r="A7" s="10">
        <v>42887</v>
      </c>
      <c r="B7">
        <v>421923.37</v>
      </c>
    </row>
    <row r="8" spans="1:2" x14ac:dyDescent="0.35">
      <c r="A8" s="10">
        <v>42917</v>
      </c>
      <c r="B8">
        <v>481604.52</v>
      </c>
    </row>
    <row r="9" spans="1:2" x14ac:dyDescent="0.35">
      <c r="A9" s="10">
        <v>42948</v>
      </c>
      <c r="B9">
        <v>554699.69999999995</v>
      </c>
    </row>
    <row r="10" spans="1:2" x14ac:dyDescent="0.35">
      <c r="A10" s="10">
        <v>42979</v>
      </c>
      <c r="B10">
        <v>607399.67000000004</v>
      </c>
    </row>
    <row r="11" spans="1:2" x14ac:dyDescent="0.35">
      <c r="A11" s="10">
        <v>43009</v>
      </c>
      <c r="B11">
        <v>648247.65</v>
      </c>
    </row>
    <row r="12" spans="1:2" x14ac:dyDescent="0.35">
      <c r="A12" s="10">
        <v>43040</v>
      </c>
      <c r="B12">
        <v>987765.37</v>
      </c>
    </row>
    <row r="13" spans="1:2" x14ac:dyDescent="0.35">
      <c r="A13" s="10">
        <v>43070</v>
      </c>
      <c r="B13">
        <v>726033.19</v>
      </c>
    </row>
    <row r="14" spans="1:2" x14ac:dyDescent="0.35">
      <c r="A14" s="10" t="s">
        <v>196</v>
      </c>
      <c r="B14">
        <v>5962902.0099999998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88D7-64B0-47D7-BADA-B9A7B6F65FF8}">
  <sheetPr>
    <pageSetUpPr fitToPage="1"/>
  </sheetPr>
  <dimension ref="B1:R79"/>
  <sheetViews>
    <sheetView showGridLines="0" tabSelected="1" topLeftCell="A4" zoomScale="53" zoomScaleNormal="160" workbookViewId="0">
      <selection activeCell="S16" sqref="S16"/>
    </sheetView>
  </sheetViews>
  <sheetFormatPr defaultColWidth="15.6328125" defaultRowHeight="14.5" x14ac:dyDescent="0.35"/>
  <sheetData>
    <row r="1" spans="2:18" s="6" customFormat="1" ht="51" customHeight="1" x14ac:dyDescent="0.75">
      <c r="B1" s="14" t="s">
        <v>198</v>
      </c>
    </row>
    <row r="3" spans="2:18" ht="31" customHeight="1" x14ac:dyDescent="0.35">
      <c r="B3" s="17" t="s">
        <v>186</v>
      </c>
      <c r="C3" s="19"/>
      <c r="D3" s="7"/>
      <c r="E3" s="17" t="s">
        <v>185</v>
      </c>
      <c r="F3" s="17"/>
      <c r="G3" s="7"/>
      <c r="H3" s="17" t="s">
        <v>184</v>
      </c>
      <c r="I3" s="17"/>
      <c r="J3" s="7"/>
      <c r="K3" s="17" t="s">
        <v>183</v>
      </c>
      <c r="L3" s="17"/>
      <c r="M3" s="7"/>
      <c r="N3" s="17" t="s">
        <v>182</v>
      </c>
      <c r="O3" s="17"/>
      <c r="P3" s="7"/>
      <c r="Q3" s="17" t="s">
        <v>181</v>
      </c>
      <c r="R3" s="19"/>
    </row>
    <row r="4" spans="2:18" ht="29.5" customHeight="1" x14ac:dyDescent="0.35">
      <c r="B4" s="22">
        <f>Calcs!B2</f>
        <v>13221498.109999999</v>
      </c>
      <c r="C4" s="22"/>
      <c r="D4" s="13"/>
      <c r="E4" s="21">
        <f>Calcs!B3</f>
        <v>96478</v>
      </c>
      <c r="F4" s="21"/>
      <c r="G4" s="13"/>
      <c r="H4" s="23">
        <f>Calcs!B4</f>
        <v>137.0415857501192</v>
      </c>
      <c r="I4" s="23"/>
      <c r="J4" s="13"/>
      <c r="K4" s="21">
        <f>Calcs!B5</f>
        <v>93358</v>
      </c>
      <c r="L4" s="21"/>
      <c r="M4" s="13"/>
      <c r="N4" s="18">
        <f>Calcs!B6</f>
        <v>4.16</v>
      </c>
      <c r="O4" s="18"/>
      <c r="P4" s="13"/>
      <c r="Q4" s="20">
        <f>Calcs!B7</f>
        <v>12.5</v>
      </c>
      <c r="R4" s="20"/>
    </row>
    <row r="55" spans="10:16" x14ac:dyDescent="0.35">
      <c r="J55" s="16" t="s">
        <v>187</v>
      </c>
      <c r="K55" s="16"/>
      <c r="L55" s="16"/>
      <c r="M55" s="16"/>
      <c r="N55" s="16"/>
      <c r="O55" s="16"/>
      <c r="P55" s="16"/>
    </row>
    <row r="56" spans="10:16" x14ac:dyDescent="0.35">
      <c r="M56" s="5"/>
      <c r="N56" s="5"/>
    </row>
    <row r="57" spans="10:16" x14ac:dyDescent="0.35">
      <c r="J57" s="12" t="s">
        <v>188</v>
      </c>
      <c r="K57" s="12" t="s">
        <v>189</v>
      </c>
      <c r="L57" s="12" t="s">
        <v>190</v>
      </c>
      <c r="M57" s="12" t="s">
        <v>191</v>
      </c>
      <c r="N57" s="12" t="s">
        <v>192</v>
      </c>
      <c r="O57" s="12" t="s">
        <v>193</v>
      </c>
      <c r="P57" s="12" t="s">
        <v>194</v>
      </c>
    </row>
    <row r="58" spans="10:16" x14ac:dyDescent="0.35">
      <c r="J58" s="8">
        <f>'Cohort'!A2</f>
        <v>42736</v>
      </c>
      <c r="K58" s="11">
        <f>'Cohort'!C2/'Cohort'!$B2</f>
        <v>2.7894002789400278E-3</v>
      </c>
      <c r="L58" s="11">
        <f>'Cohort'!D2/'Cohort'!$B2</f>
        <v>2.7894002789400278E-3</v>
      </c>
      <c r="M58" s="11">
        <f>'Cohort'!E2/'Cohort'!$B2</f>
        <v>1.3947001394700139E-3</v>
      </c>
      <c r="N58" s="11">
        <f>'Cohort'!F2/'Cohort'!$B2</f>
        <v>4.1841004184100415E-3</v>
      </c>
      <c r="O58" s="11">
        <f>'Cohort'!G2/'Cohort'!$B2</f>
        <v>1.3947001394700139E-3</v>
      </c>
      <c r="P58" s="11">
        <f>'Cohort'!H2/'Cohort'!$B2</f>
        <v>4.1841004184100415E-3</v>
      </c>
    </row>
    <row r="59" spans="10:16" x14ac:dyDescent="0.35">
      <c r="J59" s="8">
        <f>'Cohort'!A3</f>
        <v>42767</v>
      </c>
      <c r="K59" s="11">
        <f>'Cohort'!C3/'Cohort'!$B3</f>
        <v>1.8427518427518428E-3</v>
      </c>
      <c r="L59" s="11">
        <f>'Cohort'!D3/'Cohort'!$B3</f>
        <v>3.0712530712530711E-3</v>
      </c>
      <c r="M59" s="11">
        <f>'Cohort'!E3/'Cohort'!$B3</f>
        <v>1.2285012285012285E-3</v>
      </c>
      <c r="N59" s="11">
        <f>'Cohort'!F3/'Cohort'!$B3</f>
        <v>4.2997542997542998E-3</v>
      </c>
      <c r="O59" s="11">
        <f>'Cohort'!G3/'Cohort'!$B3</f>
        <v>1.2285012285012285E-3</v>
      </c>
      <c r="P59" s="11">
        <f>'Cohort'!H3/'Cohort'!$B3</f>
        <v>2.4570024570024569E-3</v>
      </c>
    </row>
    <row r="60" spans="10:16" x14ac:dyDescent="0.35">
      <c r="J60" s="8">
        <f>'Cohort'!A4</f>
        <v>42795</v>
      </c>
      <c r="K60" s="11">
        <f>'Cohort'!C4/'Cohort'!$B4</f>
        <v>4.3947263284059125E-3</v>
      </c>
      <c r="L60" s="11">
        <f>'Cohort'!D4/'Cohort'!$B4</f>
        <v>3.595685177786656E-3</v>
      </c>
      <c r="M60" s="11">
        <f>'Cohort'!E4/'Cohort'!$B4</f>
        <v>3.9952057530962841E-3</v>
      </c>
      <c r="N60" s="11">
        <f>'Cohort'!F4/'Cohort'!$B4</f>
        <v>3.595685177786656E-3</v>
      </c>
      <c r="O60" s="11">
        <f>'Cohort'!G4/'Cohort'!$B4</f>
        <v>1.5980823012385138E-3</v>
      </c>
      <c r="P60" s="11">
        <f>'Cohort'!H4/'Cohort'!$B4</f>
        <v>1.5980823012385138E-3</v>
      </c>
    </row>
    <row r="61" spans="10:16" x14ac:dyDescent="0.35">
      <c r="J61" s="8">
        <f>'Cohort'!A5</f>
        <v>42826</v>
      </c>
      <c r="K61" s="11">
        <f>'Cohort'!C5/'Cohort'!$B5</f>
        <v>6.2056737588652485E-3</v>
      </c>
      <c r="L61" s="11">
        <f>'Cohort'!D5/'Cohort'!$B5</f>
        <v>2.2163120567375888E-3</v>
      </c>
      <c r="M61" s="11">
        <f>'Cohort'!E5/'Cohort'!$B5</f>
        <v>1.7730496453900709E-3</v>
      </c>
      <c r="N61" s="11">
        <f>'Cohort'!F5/'Cohort'!$B5</f>
        <v>2.6595744680851063E-3</v>
      </c>
      <c r="O61" s="11">
        <f>'Cohort'!G5/'Cohort'!$B5</f>
        <v>2.6595744680851063E-3</v>
      </c>
      <c r="P61" s="11">
        <f>'Cohort'!H5/'Cohort'!$B5</f>
        <v>3.5460992907801418E-3</v>
      </c>
    </row>
    <row r="62" spans="10:16" x14ac:dyDescent="0.35">
      <c r="J62" s="8">
        <f>'Cohort'!A6</f>
        <v>42856</v>
      </c>
      <c r="K62" s="11">
        <f>'Cohort'!C6/'Cohort'!$B6</f>
        <v>4.6363372935381052E-3</v>
      </c>
      <c r="L62" s="11">
        <f>'Cohort'!D6/'Cohort'!$B6</f>
        <v>4.6363372935381052E-3</v>
      </c>
      <c r="M62" s="11">
        <f>'Cohort'!E6/'Cohort'!$B6</f>
        <v>2.8977108084613156E-3</v>
      </c>
      <c r="N62" s="11">
        <f>'Cohort'!F6/'Cohort'!$B6</f>
        <v>2.8977108084613156E-3</v>
      </c>
      <c r="O62" s="11">
        <f>'Cohort'!G6/'Cohort'!$B6</f>
        <v>3.1874818893074469E-3</v>
      </c>
      <c r="P62" s="11">
        <f>'Cohort'!H6/'Cohort'!$B6</f>
        <v>4.0567951318458417E-3</v>
      </c>
    </row>
    <row r="63" spans="10:16" x14ac:dyDescent="0.35">
      <c r="J63" s="8">
        <f>'Cohort'!A7</f>
        <v>42887</v>
      </c>
      <c r="K63" s="11">
        <f>'Cohort'!C7/'Cohort'!$B7</f>
        <v>4.9390846229832074E-3</v>
      </c>
      <c r="L63" s="11">
        <f>'Cohort'!D7/'Cohort'!$B7</f>
        <v>3.9512676983865661E-3</v>
      </c>
      <c r="M63" s="11">
        <f>'Cohort'!E7/'Cohort'!$B7</f>
        <v>4.2805400065854459E-3</v>
      </c>
      <c r="N63" s="11">
        <f>'Cohort'!F7/'Cohort'!$B7</f>
        <v>2.9634507737899243E-3</v>
      </c>
      <c r="O63" s="11">
        <f>'Cohort'!G7/'Cohort'!$B7</f>
        <v>3.9512676983865661E-3</v>
      </c>
      <c r="P63" s="11">
        <f>'Cohort'!H7/'Cohort'!$B7</f>
        <v>3.6219953901876854E-3</v>
      </c>
    </row>
    <row r="64" spans="10:16" x14ac:dyDescent="0.35">
      <c r="J64" s="8">
        <f>'Cohort'!A8</f>
        <v>42917</v>
      </c>
      <c r="K64" s="11">
        <f>'Cohort'!C8/'Cohort'!$B8</f>
        <v>5.3304904051172707E-3</v>
      </c>
      <c r="L64" s="11">
        <f>'Cohort'!D8/'Cohort'!$B8</f>
        <v>3.4648187633262262E-3</v>
      </c>
      <c r="M64" s="11">
        <f>'Cohort'!E8/'Cohort'!$B8</f>
        <v>2.398720682302772E-3</v>
      </c>
      <c r="N64" s="11">
        <f>'Cohort'!F8/'Cohort'!$B8</f>
        <v>2.9317697228144991E-3</v>
      </c>
      <c r="O64" s="11">
        <f>'Cohort'!G8/'Cohort'!$B8</f>
        <v>2.1321961620469083E-3</v>
      </c>
      <c r="P64" s="11">
        <f>'Cohort'!H8/'Cohort'!$B8</f>
        <v>3.1982942430703624E-3</v>
      </c>
    </row>
    <row r="65" spans="2:16" x14ac:dyDescent="0.35">
      <c r="J65" s="8">
        <f>'Cohort'!A9</f>
        <v>42948</v>
      </c>
      <c r="K65" s="11">
        <f>'Cohort'!C9/'Cohort'!$B9</f>
        <v>6.9016514666009367E-3</v>
      </c>
      <c r="L65" s="11">
        <f>'Cohort'!D9/'Cohort'!$B9</f>
        <v>3.4508257333004683E-3</v>
      </c>
      <c r="M65" s="11">
        <f>'Cohort'!E9/'Cohort'!$B9</f>
        <v>2.7113630761646536E-3</v>
      </c>
      <c r="N65" s="11">
        <f>'Cohort'!F9/'Cohort'!$B9</f>
        <v>3.4508257333004683E-3</v>
      </c>
      <c r="O65" s="11">
        <f>'Cohort'!G9/'Cohort'!$B9</f>
        <v>5.1762385999507025E-3</v>
      </c>
      <c r="P65" s="11">
        <f>'Cohort'!H9/'Cohort'!$B9</f>
        <v>2.9578506285432584E-3</v>
      </c>
    </row>
    <row r="66" spans="2:16" x14ac:dyDescent="0.35">
      <c r="J66" s="8">
        <f>'Cohort'!A10</f>
        <v>42979</v>
      </c>
      <c r="K66" s="11">
        <f>'Cohort'!C10/'Cohort'!$B10</f>
        <v>6.993006993006993E-3</v>
      </c>
      <c r="L66" s="11">
        <f>'Cohort'!D10/'Cohort'!$B10</f>
        <v>5.4945054945054949E-3</v>
      </c>
      <c r="M66" s="11">
        <f>'Cohort'!E10/'Cohort'!$B10</f>
        <v>2.7472527472527475E-3</v>
      </c>
      <c r="N66" s="11">
        <f>'Cohort'!F10/'Cohort'!$B10</f>
        <v>4.4955044955044959E-3</v>
      </c>
      <c r="O66" s="11">
        <f>'Cohort'!G10/'Cohort'!$B10</f>
        <v>2.247752247752248E-3</v>
      </c>
      <c r="P66" s="11">
        <f>'Cohort'!H10/'Cohort'!$B10</f>
        <v>2.247752247752248E-3</v>
      </c>
    </row>
    <row r="67" spans="2:16" x14ac:dyDescent="0.35">
      <c r="J67" s="8">
        <f>'Cohort'!A11</f>
        <v>43009</v>
      </c>
      <c r="K67" s="11">
        <f>'Cohort'!C11/'Cohort'!$B11</f>
        <v>7.1626617375231049E-3</v>
      </c>
      <c r="L67" s="11">
        <f>'Cohort'!D11/'Cohort'!$B11</f>
        <v>2.5415896487985213E-3</v>
      </c>
      <c r="M67" s="11">
        <f>'Cohort'!E11/'Cohort'!$B11</f>
        <v>9.2421441774491681E-4</v>
      </c>
      <c r="N67" s="11">
        <f>'Cohort'!F11/'Cohort'!$B11</f>
        <v>2.3105360443622922E-3</v>
      </c>
      <c r="O67" s="11">
        <f>'Cohort'!G11/'Cohort'!$B11</f>
        <v>2.0794824399260627E-3</v>
      </c>
      <c r="P67" s="11">
        <f>'Cohort'!H11/'Cohort'!$B11</f>
        <v>2.0794824399260627E-3</v>
      </c>
    </row>
    <row r="68" spans="2:16" x14ac:dyDescent="0.35">
      <c r="J68" s="8">
        <f>'Cohort'!A12</f>
        <v>43040</v>
      </c>
      <c r="K68" s="11">
        <f>'Cohort'!C12/'Cohort'!$B12</f>
        <v>5.6657223796033997E-3</v>
      </c>
      <c r="L68" s="11">
        <f>'Cohort'!D12/'Cohort'!$B12</f>
        <v>3.6827195467422098E-3</v>
      </c>
      <c r="M68" s="11">
        <f>'Cohort'!E12/'Cohort'!$B12</f>
        <v>1.6997167138810198E-3</v>
      </c>
      <c r="N68" s="11">
        <f>'Cohort'!F12/'Cohort'!$B12</f>
        <v>1.6997167138810198E-3</v>
      </c>
      <c r="O68" s="11">
        <f>'Cohort'!G12/'Cohort'!$B12</f>
        <v>1.8413597733711049E-3</v>
      </c>
      <c r="P68" s="11">
        <f>'Cohort'!H12/'Cohort'!$B12</f>
        <v>1.1331444759206798E-3</v>
      </c>
    </row>
    <row r="69" spans="2:16" x14ac:dyDescent="0.35">
      <c r="J69" s="8">
        <f>'Cohort'!A13</f>
        <v>43070</v>
      </c>
      <c r="K69" s="11">
        <f>'Cohort'!C13/'Cohort'!$B13</f>
        <v>2.0606968902210565E-3</v>
      </c>
      <c r="L69" s="11">
        <f>'Cohort'!D13/'Cohort'!$B13</f>
        <v>2.8100412139378042E-3</v>
      </c>
      <c r="M69" s="11">
        <f>'Cohort'!E13/'Cohort'!$B13</f>
        <v>3.3720494567253652E-3</v>
      </c>
      <c r="N69" s="11">
        <f>'Cohort'!F13/'Cohort'!$B13</f>
        <v>2.6227051330086175E-3</v>
      </c>
      <c r="O69" s="11">
        <f>'Cohort'!G13/'Cohort'!$B13</f>
        <v>2.0606968902210565E-3</v>
      </c>
      <c r="P69" s="11">
        <f>'Cohort'!H13/'Cohort'!$B13</f>
        <v>1.6860247283626826E-3</v>
      </c>
    </row>
    <row r="70" spans="2:16" x14ac:dyDescent="0.35">
      <c r="J70" s="8">
        <f>'Cohort'!A14</f>
        <v>43101</v>
      </c>
      <c r="K70" s="11">
        <f>'Cohort'!C14/'Cohort'!$B14</f>
        <v>3.3615901783104357E-3</v>
      </c>
      <c r="L70" s="11">
        <f>'Cohort'!D14/'Cohort'!$B14</f>
        <v>3.6539023677287343E-3</v>
      </c>
      <c r="M70" s="11">
        <f>'Cohort'!E14/'Cohort'!$B14</f>
        <v>2.9231218941829875E-3</v>
      </c>
      <c r="N70" s="11">
        <f>'Cohort'!F14/'Cohort'!$B14</f>
        <v>2.9231218941829875E-3</v>
      </c>
      <c r="O70" s="11">
        <f>'Cohort'!G14/'Cohort'!$B14</f>
        <v>1.6077170418006431E-3</v>
      </c>
      <c r="P70" s="11">
        <f>'Cohort'!H14/'Cohort'!$B14</f>
        <v>1.7538731365097924E-3</v>
      </c>
    </row>
    <row r="71" spans="2:16" x14ac:dyDescent="0.35">
      <c r="J71" s="8">
        <f>'Cohort'!A15</f>
        <v>43132</v>
      </c>
      <c r="K71" s="11">
        <f>'Cohort'!C15/'Cohort'!$B15</f>
        <v>3.4987277353689568E-3</v>
      </c>
      <c r="L71" s="11">
        <f>'Cohort'!D15/'Cohort'!$B15</f>
        <v>3.9758269720101781E-3</v>
      </c>
      <c r="M71" s="11">
        <f>'Cohort'!E15/'Cohort'!$B15</f>
        <v>3.0216284987277355E-3</v>
      </c>
      <c r="N71" s="11">
        <f>'Cohort'!F15/'Cohort'!$B15</f>
        <v>2.5445292620865142E-3</v>
      </c>
      <c r="O71" s="11">
        <f>'Cohort'!G15/'Cohort'!$B15</f>
        <v>2.2264631043256997E-3</v>
      </c>
      <c r="P71" s="11">
        <f>'Cohort'!H15/'Cohort'!$B15</f>
        <v>2.0674300254452924E-3</v>
      </c>
    </row>
    <row r="77" spans="2:16" ht="23.5" x14ac:dyDescent="0.55000000000000004">
      <c r="B77" s="15" t="s">
        <v>199</v>
      </c>
      <c r="C77" s="15"/>
      <c r="D77" s="15"/>
      <c r="E77" s="15"/>
      <c r="F77" s="15"/>
      <c r="G77" s="15"/>
      <c r="H77" s="15"/>
      <c r="I77" s="15"/>
      <c r="J77" s="15"/>
    </row>
    <row r="78" spans="2:16" ht="23.5" x14ac:dyDescent="0.55000000000000004">
      <c r="B78" s="15" t="s">
        <v>200</v>
      </c>
      <c r="C78" s="15"/>
      <c r="D78" s="15"/>
      <c r="E78" s="15"/>
      <c r="F78" s="15"/>
      <c r="G78" s="15"/>
      <c r="H78" s="15"/>
      <c r="I78" s="15"/>
      <c r="J78" s="15"/>
    </row>
    <row r="79" spans="2:16" ht="23.5" x14ac:dyDescent="0.55000000000000004">
      <c r="B79" s="15"/>
      <c r="C79" s="15"/>
      <c r="D79" s="15"/>
      <c r="E79" s="15"/>
      <c r="F79" s="15"/>
      <c r="G79" s="15"/>
      <c r="H79" s="15"/>
      <c r="I79" s="15"/>
      <c r="J79" s="15"/>
    </row>
  </sheetData>
  <mergeCells count="13">
    <mergeCell ref="E3:F3"/>
    <mergeCell ref="E4:F4"/>
    <mergeCell ref="B3:C3"/>
    <mergeCell ref="B4:C4"/>
    <mergeCell ref="H3:I3"/>
    <mergeCell ref="H4:I4"/>
    <mergeCell ref="J55:P55"/>
    <mergeCell ref="N3:O3"/>
    <mergeCell ref="N4:O4"/>
    <mergeCell ref="Q3:R3"/>
    <mergeCell ref="Q4:R4"/>
    <mergeCell ref="K3:L3"/>
    <mergeCell ref="K4:L4"/>
  </mergeCells>
  <phoneticPr fontId="6" type="noConversion"/>
  <conditionalFormatting sqref="K58:P71">
    <cfRule type="colorScale" priority="1">
      <colorScale>
        <cfvo type="min"/>
        <cfvo type="max"/>
        <color rgb="FFFCFCFF"/>
        <color rgb="FF63BE7B"/>
      </colorScale>
    </cfRule>
  </conditionalFormatting>
  <pageMargins left="0.7" right="0.7" top="0.75" bottom="0.75" header="0.3" footer="0.3"/>
  <pageSetup scale="41"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C562-12BD-4DC4-8B23-D8AF7D2DF9CF}">
  <dimension ref="A1:F3"/>
  <sheetViews>
    <sheetView zoomScaleNormal="100" workbookViewId="0">
      <selection activeCell="B20" sqref="B20"/>
    </sheetView>
  </sheetViews>
  <sheetFormatPr defaultRowHeight="14.5" x14ac:dyDescent="0.35"/>
  <cols>
    <col min="1" max="1" width="15.90625" bestFit="1" customWidth="1"/>
    <col min="2" max="2" width="9.453125" bestFit="1" customWidth="1"/>
    <col min="3" max="3" width="18" bestFit="1" customWidth="1"/>
    <col min="5" max="5" width="23.36328125" bestFit="1" customWidth="1"/>
    <col min="6" max="6" width="19.54296875" bestFit="1" customWidth="1"/>
  </cols>
  <sheetData>
    <row r="1" spans="1:6" x14ac:dyDescent="0.35">
      <c r="A1" t="s">
        <v>110</v>
      </c>
      <c r="B1" t="s">
        <v>103</v>
      </c>
      <c r="C1" t="s">
        <v>5</v>
      </c>
      <c r="E1" s="4" t="s">
        <v>113</v>
      </c>
      <c r="F1" s="4" t="s">
        <v>114</v>
      </c>
    </row>
    <row r="2" spans="1:6" x14ac:dyDescent="0.35">
      <c r="A2" t="s">
        <v>111</v>
      </c>
      <c r="B2">
        <v>88652</v>
      </c>
      <c r="C2">
        <v>4.29</v>
      </c>
      <c r="E2">
        <f>_04b_late_vs_ontime[[#This Row],[avg_review_score]]-C3</f>
        <v>1.7200000000000002</v>
      </c>
      <c r="F2" s="2">
        <f>B3/(_04b_late_vs_ontime[[#This Row],[reviews]]+B3)</f>
        <v>7.9915310528063763E-2</v>
      </c>
    </row>
    <row r="3" spans="1:6" x14ac:dyDescent="0.35">
      <c r="A3" t="s">
        <v>112</v>
      </c>
      <c r="B3">
        <v>7700</v>
      </c>
      <c r="C3">
        <v>2.57</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74F9-E300-4274-AE38-10304CEC7CB1}">
  <dimension ref="A1:D28"/>
  <sheetViews>
    <sheetView workbookViewId="0">
      <selection activeCell="D2" activeCellId="1" sqref="A2:A28 D2:D28"/>
    </sheetView>
  </sheetViews>
  <sheetFormatPr defaultRowHeight="14.5" x14ac:dyDescent="0.35"/>
  <cols>
    <col min="1" max="1" width="18.08984375" bestFit="1" customWidth="1"/>
    <col min="2" max="2" width="16.36328125" bestFit="1" customWidth="1"/>
    <col min="3" max="3" width="8.54296875" bestFit="1" customWidth="1"/>
    <col min="4" max="4" width="18.36328125" bestFit="1" customWidth="1"/>
  </cols>
  <sheetData>
    <row r="1" spans="1:4" x14ac:dyDescent="0.35">
      <c r="A1" t="s">
        <v>116</v>
      </c>
      <c r="B1" t="s">
        <v>171</v>
      </c>
      <c r="C1" t="s">
        <v>12</v>
      </c>
      <c r="D1" t="s">
        <v>6</v>
      </c>
    </row>
    <row r="2" spans="1:4" x14ac:dyDescent="0.35">
      <c r="A2" t="s">
        <v>162</v>
      </c>
      <c r="B2" t="s">
        <v>161</v>
      </c>
      <c r="C2">
        <v>41</v>
      </c>
      <c r="D2">
        <v>29.3</v>
      </c>
    </row>
    <row r="3" spans="1:4" x14ac:dyDescent="0.35">
      <c r="A3" t="s">
        <v>118</v>
      </c>
      <c r="B3" t="s">
        <v>117</v>
      </c>
      <c r="C3">
        <v>80</v>
      </c>
      <c r="D3">
        <v>21</v>
      </c>
    </row>
    <row r="4" spans="1:4" x14ac:dyDescent="0.35">
      <c r="A4" t="s">
        <v>122</v>
      </c>
      <c r="B4" t="s">
        <v>121</v>
      </c>
      <c r="C4">
        <v>67</v>
      </c>
      <c r="D4">
        <v>27.2</v>
      </c>
    </row>
    <row r="5" spans="1:4" x14ac:dyDescent="0.35">
      <c r="A5" t="s">
        <v>120</v>
      </c>
      <c r="B5" t="s">
        <v>119</v>
      </c>
      <c r="C5">
        <v>397</v>
      </c>
      <c r="D5">
        <v>24.5</v>
      </c>
    </row>
    <row r="6" spans="1:4" x14ac:dyDescent="0.35">
      <c r="A6" t="s">
        <v>124</v>
      </c>
      <c r="B6" t="s">
        <v>123</v>
      </c>
      <c r="C6">
        <v>145</v>
      </c>
      <c r="D6">
        <v>26.4</v>
      </c>
    </row>
    <row r="7" spans="1:4" x14ac:dyDescent="0.35">
      <c r="A7" t="s">
        <v>144</v>
      </c>
      <c r="B7" t="s">
        <v>143</v>
      </c>
      <c r="C7">
        <v>946</v>
      </c>
      <c r="D7">
        <v>23.7</v>
      </c>
    </row>
    <row r="8" spans="1:4" x14ac:dyDescent="0.35">
      <c r="A8" t="s">
        <v>126</v>
      </c>
      <c r="B8" t="s">
        <v>125</v>
      </c>
      <c r="C8">
        <v>3256</v>
      </c>
      <c r="D8">
        <v>19.3</v>
      </c>
    </row>
    <row r="9" spans="1:4" x14ac:dyDescent="0.35">
      <c r="A9" t="s">
        <v>136</v>
      </c>
      <c r="B9" t="s">
        <v>135</v>
      </c>
      <c r="C9">
        <v>717</v>
      </c>
      <c r="D9">
        <v>21.5</v>
      </c>
    </row>
    <row r="10" spans="1:4" x14ac:dyDescent="0.35">
      <c r="A10" t="s">
        <v>128</v>
      </c>
      <c r="B10" t="s">
        <v>127</v>
      </c>
      <c r="C10">
        <v>1279</v>
      </c>
      <c r="D10">
        <v>21.2</v>
      </c>
    </row>
    <row r="11" spans="1:4" x14ac:dyDescent="0.35">
      <c r="A11" t="s">
        <v>168</v>
      </c>
      <c r="B11" t="s">
        <v>167</v>
      </c>
      <c r="C11">
        <v>335</v>
      </c>
      <c r="D11">
        <v>21.5</v>
      </c>
    </row>
    <row r="12" spans="1:4" x14ac:dyDescent="0.35">
      <c r="A12" t="s">
        <v>130</v>
      </c>
      <c r="B12" t="s">
        <v>129</v>
      </c>
      <c r="C12">
        <v>2080</v>
      </c>
      <c r="D12">
        <v>12.9</v>
      </c>
    </row>
    <row r="13" spans="1:4" x14ac:dyDescent="0.35">
      <c r="A13" t="s">
        <v>132</v>
      </c>
      <c r="B13" t="s">
        <v>131</v>
      </c>
      <c r="C13">
        <v>1995</v>
      </c>
      <c r="D13">
        <v>15.7</v>
      </c>
    </row>
    <row r="14" spans="1:4" x14ac:dyDescent="0.35">
      <c r="A14" t="s">
        <v>134</v>
      </c>
      <c r="B14" t="s">
        <v>133</v>
      </c>
      <c r="C14">
        <v>1957</v>
      </c>
      <c r="D14">
        <v>15.5</v>
      </c>
    </row>
    <row r="15" spans="1:4" x14ac:dyDescent="0.35">
      <c r="A15" t="s">
        <v>146</v>
      </c>
      <c r="B15" t="s">
        <v>145</v>
      </c>
      <c r="C15">
        <v>517</v>
      </c>
      <c r="D15">
        <v>20.399999999999999</v>
      </c>
    </row>
    <row r="16" spans="1:4" x14ac:dyDescent="0.35">
      <c r="A16" t="s">
        <v>152</v>
      </c>
      <c r="B16" t="s">
        <v>151</v>
      </c>
      <c r="C16">
        <v>476</v>
      </c>
      <c r="D16">
        <v>19.399999999999999</v>
      </c>
    </row>
    <row r="17" spans="1:4" x14ac:dyDescent="0.35">
      <c r="A17" t="s">
        <v>138</v>
      </c>
      <c r="B17" t="s">
        <v>137</v>
      </c>
      <c r="C17">
        <v>886</v>
      </c>
      <c r="D17">
        <v>18</v>
      </c>
    </row>
    <row r="18" spans="1:4" x14ac:dyDescent="0.35">
      <c r="A18" t="s">
        <v>140</v>
      </c>
      <c r="B18" t="s">
        <v>139</v>
      </c>
      <c r="C18">
        <v>701</v>
      </c>
      <c r="D18">
        <v>15.5</v>
      </c>
    </row>
    <row r="19" spans="1:4" x14ac:dyDescent="0.35">
      <c r="A19" t="s">
        <v>160</v>
      </c>
      <c r="B19" t="s">
        <v>159</v>
      </c>
      <c r="C19">
        <v>243</v>
      </c>
      <c r="D19">
        <v>19.3</v>
      </c>
    </row>
    <row r="20" spans="1:4" x14ac:dyDescent="0.35">
      <c r="A20" t="s">
        <v>142</v>
      </c>
      <c r="B20" t="s">
        <v>141</v>
      </c>
      <c r="C20">
        <v>11354</v>
      </c>
      <c r="D20">
        <v>11.9</v>
      </c>
    </row>
    <row r="21" spans="1:4" x14ac:dyDescent="0.35">
      <c r="A21" t="s">
        <v>156</v>
      </c>
      <c r="B21" t="s">
        <v>155</v>
      </c>
      <c r="C21">
        <v>474</v>
      </c>
      <c r="D21">
        <v>19.2</v>
      </c>
    </row>
    <row r="22" spans="1:4" x14ac:dyDescent="0.35">
      <c r="A22" t="s">
        <v>150</v>
      </c>
      <c r="B22" t="s">
        <v>149</v>
      </c>
      <c r="C22">
        <v>1593</v>
      </c>
      <c r="D22">
        <v>18.399999999999999</v>
      </c>
    </row>
    <row r="23" spans="1:4" x14ac:dyDescent="0.35">
      <c r="A23" t="s">
        <v>148</v>
      </c>
      <c r="B23" t="s">
        <v>147</v>
      </c>
      <c r="C23">
        <v>4923</v>
      </c>
      <c r="D23">
        <v>11.9</v>
      </c>
    </row>
    <row r="24" spans="1:4" x14ac:dyDescent="0.35">
      <c r="A24" t="s">
        <v>170</v>
      </c>
      <c r="B24" t="s">
        <v>169</v>
      </c>
      <c r="C24">
        <v>274</v>
      </c>
      <c r="D24">
        <v>17.600000000000001</v>
      </c>
    </row>
    <row r="25" spans="1:4" x14ac:dyDescent="0.35">
      <c r="A25" t="s">
        <v>154</v>
      </c>
      <c r="B25" t="s">
        <v>153</v>
      </c>
      <c r="C25">
        <v>12350</v>
      </c>
      <c r="D25">
        <v>15.2</v>
      </c>
    </row>
    <row r="26" spans="1:4" x14ac:dyDescent="0.35">
      <c r="A26" t="s">
        <v>158</v>
      </c>
      <c r="B26" t="s">
        <v>157</v>
      </c>
      <c r="C26">
        <v>5344</v>
      </c>
      <c r="D26">
        <v>15.2</v>
      </c>
    </row>
    <row r="27" spans="1:4" x14ac:dyDescent="0.35">
      <c r="A27" t="s">
        <v>164</v>
      </c>
      <c r="B27" t="s">
        <v>163</v>
      </c>
      <c r="C27">
        <v>3546</v>
      </c>
      <c r="D27">
        <v>14.9</v>
      </c>
    </row>
    <row r="28" spans="1:4" x14ac:dyDescent="0.35">
      <c r="A28" t="s">
        <v>166</v>
      </c>
      <c r="B28" t="s">
        <v>165</v>
      </c>
      <c r="C28">
        <v>40494</v>
      </c>
      <c r="D28">
        <v>8.6999999999999993</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B9CC-24C9-4940-90AB-9991CBEB76A2}">
  <dimension ref="A1:E5"/>
  <sheetViews>
    <sheetView workbookViewId="0">
      <selection activeCell="C2" activeCellId="1" sqref="A2:A5 C2:C5"/>
    </sheetView>
  </sheetViews>
  <sheetFormatPr defaultRowHeight="14.5" x14ac:dyDescent="0.35"/>
  <cols>
    <col min="1" max="1" width="15.36328125" bestFit="1" customWidth="1"/>
    <col min="2" max="2" width="8.54296875" bestFit="1" customWidth="1"/>
    <col min="3" max="3" width="12.54296875" bestFit="1" customWidth="1"/>
    <col min="4" max="4" width="16.90625" bestFit="1" customWidth="1"/>
    <col min="5" max="5" width="17.26953125" bestFit="1" customWidth="1"/>
  </cols>
  <sheetData>
    <row r="1" spans="1:5" x14ac:dyDescent="0.35">
      <c r="A1" t="s">
        <v>172</v>
      </c>
      <c r="B1" t="s">
        <v>12</v>
      </c>
      <c r="C1" t="s">
        <v>173</v>
      </c>
      <c r="D1" t="s">
        <v>174</v>
      </c>
      <c r="E1" t="s">
        <v>175</v>
      </c>
    </row>
    <row r="2" spans="1:5" x14ac:dyDescent="0.35">
      <c r="A2" t="s">
        <v>176</v>
      </c>
      <c r="B2">
        <v>74304</v>
      </c>
      <c r="C2">
        <v>12101094.880000001</v>
      </c>
      <c r="D2">
        <v>0.78459999999999996</v>
      </c>
      <c r="E2">
        <v>3.5</v>
      </c>
    </row>
    <row r="3" spans="1:5" x14ac:dyDescent="0.35">
      <c r="A3" t="s">
        <v>177</v>
      </c>
      <c r="B3">
        <v>19191</v>
      </c>
      <c r="C3">
        <v>2769932.58</v>
      </c>
      <c r="D3">
        <v>0.17960000000000001</v>
      </c>
      <c r="E3">
        <v>1</v>
      </c>
    </row>
    <row r="4" spans="1:5" x14ac:dyDescent="0.35">
      <c r="A4" t="s">
        <v>178</v>
      </c>
      <c r="B4">
        <v>3679</v>
      </c>
      <c r="C4">
        <v>343013.19</v>
      </c>
      <c r="D4">
        <v>2.2200000000000001E-2</v>
      </c>
      <c r="E4">
        <v>1</v>
      </c>
    </row>
    <row r="5" spans="1:5" x14ac:dyDescent="0.35">
      <c r="A5" t="s">
        <v>179</v>
      </c>
      <c r="B5">
        <v>1485</v>
      </c>
      <c r="C5">
        <v>208421.12</v>
      </c>
      <c r="D5">
        <v>1.35E-2</v>
      </c>
      <c r="E5">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007B-FDC1-413A-A175-96D3C9FDAE6A}">
  <dimension ref="A2:B8"/>
  <sheetViews>
    <sheetView topLeftCell="A3" workbookViewId="0">
      <selection activeCell="B8" sqref="B8"/>
    </sheetView>
  </sheetViews>
  <sheetFormatPr defaultRowHeight="14.5" x14ac:dyDescent="0.35"/>
  <cols>
    <col min="1" max="1" width="18.08984375" style="4" bestFit="1" customWidth="1"/>
    <col min="2" max="2" width="12.453125" bestFit="1" customWidth="1"/>
  </cols>
  <sheetData>
    <row r="2" spans="1:2" x14ac:dyDescent="0.35">
      <c r="A2" s="4" t="s">
        <v>186</v>
      </c>
      <c r="B2">
        <f>INDEX(KPIs[Value], MATCH("total_revenue", KPIs[Metric], 0))</f>
        <v>13221498.109999999</v>
      </c>
    </row>
    <row r="3" spans="1:2" x14ac:dyDescent="0.35">
      <c r="A3" s="4" t="s">
        <v>185</v>
      </c>
      <c r="B3">
        <f>INDEX(KPIs[Value], MATCH("total_orders", KPIs[Metric], 0))</f>
        <v>96478</v>
      </c>
    </row>
    <row r="4" spans="1:2" x14ac:dyDescent="0.35">
      <c r="A4" s="4" t="s">
        <v>184</v>
      </c>
      <c r="B4">
        <f>B2/B3</f>
        <v>137.0415857501192</v>
      </c>
    </row>
    <row r="5" spans="1:2" x14ac:dyDescent="0.35">
      <c r="A5" s="4" t="s">
        <v>183</v>
      </c>
      <c r="B5">
        <f>INDEX(KPIs[Value], MATCH("unique_customers", KPIs[Metric], 0))</f>
        <v>93358</v>
      </c>
    </row>
    <row r="6" spans="1:2" x14ac:dyDescent="0.35">
      <c r="A6" s="4" t="s">
        <v>182</v>
      </c>
      <c r="B6">
        <f>INDEX(KPIs[Value], MATCH("avg_review_score", KPIs[Metric], 0))</f>
        <v>4.16</v>
      </c>
    </row>
    <row r="7" spans="1:2" x14ac:dyDescent="0.35">
      <c r="A7" s="4" t="s">
        <v>181</v>
      </c>
      <c r="B7">
        <f>INDEX(KPIs[Value], MATCH("avg_delivery_days", KPIs[Metric], 0))</f>
        <v>12.5</v>
      </c>
    </row>
    <row r="8" spans="1:2" x14ac:dyDescent="0.35">
      <c r="A8" s="4" t="s">
        <v>180</v>
      </c>
      <c r="B8" s="3">
        <f>INDEX(CustomerType[customers], MATCH("Repeat", CustomerType[customer_type], 0)) / SUM(CustomerType[customers])</f>
        <v>3.0002784978255748E-2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5B4C-F3DA-45C7-84C3-8B057391FA99}">
  <dimension ref="A1:B6"/>
  <sheetViews>
    <sheetView zoomScale="127" workbookViewId="0">
      <selection activeCell="B9" sqref="B9"/>
    </sheetView>
  </sheetViews>
  <sheetFormatPr defaultRowHeight="14.5" x14ac:dyDescent="0.35"/>
  <cols>
    <col min="1" max="1" width="16.36328125" bestFit="1" customWidth="1"/>
    <col min="2" max="2" width="11.81640625" bestFit="1" customWidth="1"/>
  </cols>
  <sheetData>
    <row r="1" spans="1:2" x14ac:dyDescent="0.35">
      <c r="A1" t="s">
        <v>0</v>
      </c>
      <c r="B1" t="s">
        <v>1</v>
      </c>
    </row>
    <row r="2" spans="1:2" x14ac:dyDescent="0.35">
      <c r="A2" t="s">
        <v>2</v>
      </c>
      <c r="B2">
        <v>96478</v>
      </c>
    </row>
    <row r="3" spans="1:2" x14ac:dyDescent="0.35">
      <c r="A3" t="s">
        <v>3</v>
      </c>
      <c r="B3">
        <v>13221498.109999999</v>
      </c>
    </row>
    <row r="4" spans="1:2" x14ac:dyDescent="0.35">
      <c r="A4" t="s">
        <v>4</v>
      </c>
      <c r="B4">
        <v>93358</v>
      </c>
    </row>
    <row r="5" spans="1:2" x14ac:dyDescent="0.35">
      <c r="A5" t="s">
        <v>5</v>
      </c>
      <c r="B5">
        <v>4.16</v>
      </c>
    </row>
    <row r="6" spans="1:2" x14ac:dyDescent="0.35">
      <c r="A6" t="s">
        <v>6</v>
      </c>
      <c r="B6">
        <v>12.5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EAAD-14A1-4112-85F0-D31B78F09AE8}">
  <dimension ref="A1"/>
  <sheetViews>
    <sheetView workbookViewId="0"/>
  </sheetViews>
  <sheetFormatPr defaultRowHeight="14.5"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7C35-1B0E-4ACD-8CBD-99B1B55A233D}">
  <dimension ref="A1:B28"/>
  <sheetViews>
    <sheetView workbookViewId="0"/>
  </sheetViews>
  <sheetFormatPr defaultRowHeight="14.5" x14ac:dyDescent="0.35"/>
  <cols>
    <col min="1" max="1" width="7.36328125" bestFit="1" customWidth="1"/>
    <col min="2" max="2" width="18.08984375" bestFit="1" customWidth="1"/>
  </cols>
  <sheetData>
    <row r="1" spans="1:2" x14ac:dyDescent="0.35">
      <c r="A1" t="s">
        <v>115</v>
      </c>
      <c r="B1" t="s">
        <v>116</v>
      </c>
    </row>
    <row r="2" spans="1:2" x14ac:dyDescent="0.35">
      <c r="A2" t="s">
        <v>117</v>
      </c>
      <c r="B2" t="s">
        <v>118</v>
      </c>
    </row>
    <row r="3" spans="1:2" x14ac:dyDescent="0.35">
      <c r="A3" t="s">
        <v>119</v>
      </c>
      <c r="B3" t="s">
        <v>120</v>
      </c>
    </row>
    <row r="4" spans="1:2" x14ac:dyDescent="0.35">
      <c r="A4" t="s">
        <v>121</v>
      </c>
      <c r="B4" t="s">
        <v>122</v>
      </c>
    </row>
    <row r="5" spans="1:2" x14ac:dyDescent="0.35">
      <c r="A5" t="s">
        <v>123</v>
      </c>
      <c r="B5" t="s">
        <v>124</v>
      </c>
    </row>
    <row r="6" spans="1:2" x14ac:dyDescent="0.35">
      <c r="A6" t="s">
        <v>125</v>
      </c>
      <c r="B6" t="s">
        <v>126</v>
      </c>
    </row>
    <row r="7" spans="1:2" x14ac:dyDescent="0.35">
      <c r="A7" t="s">
        <v>127</v>
      </c>
      <c r="B7" t="s">
        <v>128</v>
      </c>
    </row>
    <row r="8" spans="1:2" x14ac:dyDescent="0.35">
      <c r="A8" t="s">
        <v>129</v>
      </c>
      <c r="B8" t="s">
        <v>130</v>
      </c>
    </row>
    <row r="9" spans="1:2" x14ac:dyDescent="0.35">
      <c r="A9" t="s">
        <v>131</v>
      </c>
      <c r="B9" t="s">
        <v>132</v>
      </c>
    </row>
    <row r="10" spans="1:2" x14ac:dyDescent="0.35">
      <c r="A10" t="s">
        <v>133</v>
      </c>
      <c r="B10" t="s">
        <v>134</v>
      </c>
    </row>
    <row r="11" spans="1:2" x14ac:dyDescent="0.35">
      <c r="A11" t="s">
        <v>135</v>
      </c>
      <c r="B11" t="s">
        <v>136</v>
      </c>
    </row>
    <row r="12" spans="1:2" x14ac:dyDescent="0.35">
      <c r="A12" t="s">
        <v>137</v>
      </c>
      <c r="B12" t="s">
        <v>138</v>
      </c>
    </row>
    <row r="13" spans="1:2" x14ac:dyDescent="0.35">
      <c r="A13" t="s">
        <v>139</v>
      </c>
      <c r="B13" t="s">
        <v>140</v>
      </c>
    </row>
    <row r="14" spans="1:2" x14ac:dyDescent="0.35">
      <c r="A14" t="s">
        <v>141</v>
      </c>
      <c r="B14" t="s">
        <v>142</v>
      </c>
    </row>
    <row r="15" spans="1:2" x14ac:dyDescent="0.35">
      <c r="A15" t="s">
        <v>143</v>
      </c>
      <c r="B15" t="s">
        <v>144</v>
      </c>
    </row>
    <row r="16" spans="1:2" x14ac:dyDescent="0.35">
      <c r="A16" t="s">
        <v>145</v>
      </c>
      <c r="B16" t="s">
        <v>146</v>
      </c>
    </row>
    <row r="17" spans="1:2" x14ac:dyDescent="0.35">
      <c r="A17" t="s">
        <v>147</v>
      </c>
      <c r="B17" t="s">
        <v>148</v>
      </c>
    </row>
    <row r="18" spans="1:2" x14ac:dyDescent="0.35">
      <c r="A18" t="s">
        <v>149</v>
      </c>
      <c r="B18" t="s">
        <v>150</v>
      </c>
    </row>
    <row r="19" spans="1:2" x14ac:dyDescent="0.35">
      <c r="A19" t="s">
        <v>151</v>
      </c>
      <c r="B19" t="s">
        <v>152</v>
      </c>
    </row>
    <row r="20" spans="1:2" x14ac:dyDescent="0.35">
      <c r="A20" t="s">
        <v>153</v>
      </c>
      <c r="B20" t="s">
        <v>154</v>
      </c>
    </row>
    <row r="21" spans="1:2" x14ac:dyDescent="0.35">
      <c r="A21" t="s">
        <v>155</v>
      </c>
      <c r="B21" t="s">
        <v>156</v>
      </c>
    </row>
    <row r="22" spans="1:2" x14ac:dyDescent="0.35">
      <c r="A22" t="s">
        <v>157</v>
      </c>
      <c r="B22" t="s">
        <v>158</v>
      </c>
    </row>
    <row r="23" spans="1:2" x14ac:dyDescent="0.35">
      <c r="A23" t="s">
        <v>159</v>
      </c>
      <c r="B23" t="s">
        <v>160</v>
      </c>
    </row>
    <row r="24" spans="1:2" x14ac:dyDescent="0.35">
      <c r="A24" t="s">
        <v>161</v>
      </c>
      <c r="B24" t="s">
        <v>162</v>
      </c>
    </row>
    <row r="25" spans="1:2" x14ac:dyDescent="0.35">
      <c r="A25" t="s">
        <v>163</v>
      </c>
      <c r="B25" t="s">
        <v>164</v>
      </c>
    </row>
    <row r="26" spans="1:2" x14ac:dyDescent="0.35">
      <c r="A26" t="s">
        <v>165</v>
      </c>
      <c r="B26" t="s">
        <v>166</v>
      </c>
    </row>
    <row r="27" spans="1:2" x14ac:dyDescent="0.35">
      <c r="A27" t="s">
        <v>167</v>
      </c>
      <c r="B27" t="s">
        <v>168</v>
      </c>
    </row>
    <row r="28" spans="1:2" x14ac:dyDescent="0.35">
      <c r="A28" t="s">
        <v>169</v>
      </c>
      <c r="B28" t="s">
        <v>170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A6DB91-9F26-4677-9889-A780E75DA8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Stats</vt:lpstr>
      <vt:lpstr>MonthlyRevenue</vt:lpstr>
      <vt:lpstr>Top10Categories</vt:lpstr>
      <vt:lpstr>Categories</vt:lpstr>
      <vt:lpstr>CustomerType</vt:lpstr>
      <vt:lpstr>Cohort</vt:lpstr>
      <vt:lpstr>ReviewVsDelivery</vt:lpstr>
      <vt:lpstr>Pivots</vt:lpstr>
      <vt:lpstr>Dashboard</vt:lpstr>
      <vt:lpstr>LateVsOnTime</vt:lpstr>
      <vt:lpstr>StateDelivery</vt:lpstr>
      <vt:lpstr>Payments</vt:lpstr>
      <vt:lpstr>Calcs</vt:lpstr>
      <vt:lpstr>KPIs</vt:lpstr>
      <vt:lpstr>Sheet6</vt:lpstr>
      <vt:lpstr>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Ayushi Thakur</dc:creator>
  <cp:lastModifiedBy>Ayushi Thakur</cp:lastModifiedBy>
  <cp:lastPrinted>2026-10-27T09:07:48Z</cp:lastPrinted>
  <dcterms:created xsi:type="dcterms:W3CDTF">2026-10-25T20:05:21Z</dcterms:created>
  <dcterms:modified xsi:type="dcterms:W3CDTF">2026-10-27T09:14:36Z</dcterms:modified>
</cp:coreProperties>
</file>